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aul.solis\Downloads\"/>
    </mc:Choice>
  </mc:AlternateContent>
  <xr:revisionPtr revIDLastSave="0" documentId="13_ncr:1_{54E0BBCA-E5BB-41F2-9290-5663658939DA}" xr6:coauthVersionLast="47" xr6:coauthVersionMax="47" xr10:uidLastSave="{00000000-0000-0000-0000-000000000000}"/>
  <bookViews>
    <workbookView xWindow="-108" yWindow="492" windowWidth="23256" windowHeight="12576" tabRatio="757" firstSheet="3" activeTab="3" xr2:uid="{00000000-000D-0000-FFFF-FFFF00000000}"/>
  </bookViews>
  <sheets>
    <sheet name="Instructions" sheetId="18" state="hidden" r:id="rId1"/>
    <sheet name="1. Instructions Enrollment Form" sheetId="19" r:id="rId2"/>
    <sheet name="Batch BIN CAIDS" sheetId="17" state="hidden" r:id="rId3"/>
    <sheet name="Rule One" sheetId="40" r:id="rId4"/>
    <sheet name="Rule Two" sheetId="68" r:id="rId5"/>
    <sheet name="Rule Three" sheetId="69" r:id="rId6"/>
    <sheet name="Rule Four" sheetId="70" r:id="rId7"/>
    <sheet name="Rule Five" sheetId="71" r:id="rId8"/>
    <sheet name="Rule Six" sheetId="72" r:id="rId9"/>
    <sheet name="Rule Seven" sheetId="73" r:id="rId10"/>
    <sheet name="Rule Eight" sheetId="74" r:id="rId11"/>
    <sheet name="Rule Nine" sheetId="75" r:id="rId12"/>
    <sheet name="Rule Ten" sheetId="76" r:id="rId13"/>
    <sheet name="Lists3" sheetId="7" state="hidden" r:id="rId14"/>
  </sheets>
  <definedNames>
    <definedName name="AuthorizeDateTime">Lists3!$D$15:$D$22</definedName>
    <definedName name="Bin">Lists3!$D$5:$D$7</definedName>
    <definedName name="binequal">Lists3!$H$5:$H$7</definedName>
    <definedName name="bingreaterthan">Lists3!$J$5:$J$7</definedName>
    <definedName name="Canada">Lists3!$D$5:$D$7</definedName>
    <definedName name="CanadaCentral">Lists3!$J$5:$J$8</definedName>
    <definedName name="CanadaWest">Lists3!$L$5:$L$7</definedName>
    <definedName name="Country">Lists3!$B$5:$B$6</definedName>
    <definedName name="DisputeCategory">Lists3!$F$37:$F$43</definedName>
    <definedName name="DisputeCategoryEqualTo">Lists3!$H$47:$H$50</definedName>
    <definedName name="DisputeCategoryIsBlank">Lists3!$H$19:$H$20</definedName>
    <definedName name="DisputeCategoryIsIn">Lists3!$H$71:$H$74</definedName>
    <definedName name="DisputeCategoryIsNotIn">Lists3!$H$77:$H$80</definedName>
    <definedName name="DisputeCategoryNotEqualTo">Lists3!$H$83:$H$86</definedName>
    <definedName name="DisputeConditionCode">Lists3!$D$34:$D$40</definedName>
    <definedName name="DisputeConditionCodeEqualTo">Lists3!$U$34:$U$59</definedName>
    <definedName name="DisputeConditionCodeIsBlank">Lists3!$H$19:$H$20</definedName>
    <definedName name="DisputeConditionCodeIsIn">Lists3!$U$34:$U$59</definedName>
    <definedName name="DisputeConditionCodeIsNotIn">Lists3!$U$34:$U$59</definedName>
    <definedName name="DisputeConditionCodeNotEqualTo">Lists3!$U$34:$U$59</definedName>
    <definedName name="dollar">Lists3!$F$5:$F$7</definedName>
    <definedName name="Greaterthan">Lists3!$J$5:$J$8</definedName>
    <definedName name="New_York_City">Lists3!$J$18:$J$21</definedName>
    <definedName name="PersonalAccountNumberBin">Lists3!$D$5:$D$11</definedName>
    <definedName name="PersonalAccountNumberBinIsBlank">Lists3!$H$19:$H$20</definedName>
    <definedName name="PurchaseIdentifier">Lists3!$F$26:$F$32</definedName>
    <definedName name="PurchaseIdentifierIsBlank">Lists3!$H$19:$H$20</definedName>
    <definedName name="reasoncode">Lists3!#REF!</definedName>
    <definedName name="reasoncodecontain">Lists3!$L$5:$L$6</definedName>
    <definedName name="reasoncodeequal">Lists3!$J$18:$J$21</definedName>
    <definedName name="Rule">Lists3!$B$5:$B$11</definedName>
    <definedName name="TransactionAmount">Lists3!$D$26:$D$31</definedName>
    <definedName name="TransactionCurrencyCode">Lists3!$F$55:$F$61</definedName>
    <definedName name="TransactionCurrencyCodeEqualTo">Lists3!$R$27:$R$205</definedName>
    <definedName name="TransactionCurrencyCodeIsBlank">Lists3!$H$19:$H$20</definedName>
    <definedName name="TransactionCurrencyCodeIsIn">Lists3!$R$27:$R$205</definedName>
    <definedName name="TransactionCurrencyCodeIsNotIn">Lists3!$R$27:$R$20553</definedName>
    <definedName name="TransactionCurrencyCodeNotEqualTo">Lists3!$R$27:$R$205</definedName>
    <definedName name="TransactionDate">Lists3!$F$5:$F$12</definedName>
    <definedName name="TransactionDateIsIn">Lists3!$H$26:$H$29</definedName>
    <definedName name="TransactionDateIsNotIn">Lists3!$H$26:$H$29</definedName>
    <definedName name="USA">Lists3!$F$5:$F$7</definedName>
    <definedName name="USAEast">Lists3!$J$18:$J$21</definedName>
    <definedName name="USASouthEast">Lists3!$J$12:$J$14</definedName>
    <definedName name="USAWest">Lists3!$L$12:$L$15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306" i="76" l="1"/>
  <c r="M305" i="76"/>
  <c r="M304" i="76"/>
  <c r="M303" i="76"/>
  <c r="M302" i="76"/>
  <c r="M301" i="76"/>
  <c r="M300" i="76"/>
  <c r="M299" i="76"/>
  <c r="M298" i="76"/>
  <c r="M297" i="76"/>
  <c r="M296" i="76"/>
  <c r="M295" i="76"/>
  <c r="M294" i="76"/>
  <c r="M293" i="76"/>
  <c r="M292" i="76"/>
  <c r="M291" i="76"/>
  <c r="M290" i="76"/>
  <c r="M289" i="76"/>
  <c r="M288" i="76"/>
  <c r="M287" i="76"/>
  <c r="M286" i="76"/>
  <c r="M285" i="76"/>
  <c r="M284" i="76"/>
  <c r="M283" i="76"/>
  <c r="M282" i="76"/>
  <c r="M281" i="76"/>
  <c r="M280" i="76"/>
  <c r="M279" i="76"/>
  <c r="M278" i="76"/>
  <c r="M277" i="76"/>
  <c r="M276" i="76"/>
  <c r="M275" i="76"/>
  <c r="M274" i="76"/>
  <c r="M273" i="76"/>
  <c r="M272" i="76"/>
  <c r="M271" i="76"/>
  <c r="M270" i="76"/>
  <c r="M269" i="76"/>
  <c r="M268" i="76"/>
  <c r="M267" i="76"/>
  <c r="M266" i="76"/>
  <c r="M265" i="76"/>
  <c r="M264" i="76"/>
  <c r="M263" i="76"/>
  <c r="M262" i="76"/>
  <c r="M261" i="76"/>
  <c r="M260" i="76"/>
  <c r="M259" i="76"/>
  <c r="M258" i="76"/>
  <c r="M257" i="76"/>
  <c r="M256" i="76"/>
  <c r="M255" i="76"/>
  <c r="M254" i="76"/>
  <c r="M253" i="76"/>
  <c r="M252" i="76"/>
  <c r="M251" i="76"/>
  <c r="M250" i="76"/>
  <c r="M249" i="76"/>
  <c r="M248" i="76"/>
  <c r="M247" i="76"/>
  <c r="M246" i="76"/>
  <c r="M245" i="76"/>
  <c r="M244" i="76"/>
  <c r="M243" i="76"/>
  <c r="M242" i="76"/>
  <c r="M241" i="76"/>
  <c r="M240" i="76"/>
  <c r="M239" i="76"/>
  <c r="M238" i="76"/>
  <c r="M237" i="76"/>
  <c r="M236" i="76"/>
  <c r="M235" i="76"/>
  <c r="M234" i="76"/>
  <c r="M233" i="76"/>
  <c r="M232" i="76"/>
  <c r="M231" i="76"/>
  <c r="M230" i="76"/>
  <c r="M229" i="76"/>
  <c r="M228" i="76"/>
  <c r="M227" i="76"/>
  <c r="M226" i="76"/>
  <c r="M225" i="76"/>
  <c r="M224" i="76"/>
  <c r="M223" i="76"/>
  <c r="M222" i="76"/>
  <c r="M221" i="76"/>
  <c r="M220" i="76"/>
  <c r="M219" i="76"/>
  <c r="M218" i="76"/>
  <c r="M217" i="76"/>
  <c r="M216" i="76"/>
  <c r="M215" i="76"/>
  <c r="M214" i="76"/>
  <c r="M213" i="76"/>
  <c r="M212" i="76"/>
  <c r="M211" i="76"/>
  <c r="M210" i="76"/>
  <c r="M209" i="76"/>
  <c r="M208" i="76"/>
  <c r="M207" i="76"/>
  <c r="M206" i="76"/>
  <c r="M205" i="76"/>
  <c r="M204" i="76"/>
  <c r="M203" i="76"/>
  <c r="M202" i="76"/>
  <c r="M201" i="76"/>
  <c r="M200" i="76"/>
  <c r="M199" i="76"/>
  <c r="M198" i="76"/>
  <c r="M197" i="76"/>
  <c r="M196" i="76"/>
  <c r="M195" i="76"/>
  <c r="M194" i="76"/>
  <c r="M193" i="76"/>
  <c r="M192" i="76"/>
  <c r="M191" i="76"/>
  <c r="M190" i="76"/>
  <c r="M189" i="76"/>
  <c r="M188" i="76"/>
  <c r="M187" i="76"/>
  <c r="M186" i="76"/>
  <c r="M185" i="76"/>
  <c r="M184" i="76"/>
  <c r="M183" i="76"/>
  <c r="M182" i="76"/>
  <c r="M181" i="76"/>
  <c r="M180" i="76"/>
  <c r="M179" i="76"/>
  <c r="M178" i="76"/>
  <c r="M177" i="76"/>
  <c r="M176" i="76"/>
  <c r="M175" i="76"/>
  <c r="M174" i="76"/>
  <c r="M173" i="76"/>
  <c r="M172" i="76"/>
  <c r="M171" i="76"/>
  <c r="M170" i="76"/>
  <c r="M169" i="76"/>
  <c r="M168" i="76"/>
  <c r="M167" i="76"/>
  <c r="M166" i="76"/>
  <c r="M165" i="76"/>
  <c r="M164" i="76"/>
  <c r="M163" i="76"/>
  <c r="M162" i="76"/>
  <c r="M161" i="76"/>
  <c r="M160" i="76"/>
  <c r="M159" i="76"/>
  <c r="M158" i="76"/>
  <c r="M157" i="76"/>
  <c r="M156" i="76"/>
  <c r="M155" i="76"/>
  <c r="M154" i="76"/>
  <c r="M153" i="76"/>
  <c r="M152" i="76"/>
  <c r="M151" i="76"/>
  <c r="M150" i="76"/>
  <c r="M149" i="76"/>
  <c r="M148" i="76"/>
  <c r="M147" i="76"/>
  <c r="M146" i="76"/>
  <c r="M145" i="76"/>
  <c r="M144" i="76"/>
  <c r="M143" i="76"/>
  <c r="M142" i="76"/>
  <c r="M141" i="76"/>
  <c r="M140" i="76"/>
  <c r="M139" i="76"/>
  <c r="M138" i="76"/>
  <c r="M137" i="76"/>
  <c r="M136" i="76"/>
  <c r="M135" i="76"/>
  <c r="M134" i="76"/>
  <c r="M133" i="76"/>
  <c r="M132" i="76"/>
  <c r="M131" i="76"/>
  <c r="M130" i="76"/>
  <c r="M129" i="76"/>
  <c r="M128" i="76"/>
  <c r="M127" i="76"/>
  <c r="M126" i="76"/>
  <c r="M125" i="76"/>
  <c r="M124" i="76"/>
  <c r="M123" i="76"/>
  <c r="M122" i="76"/>
  <c r="M121" i="76"/>
  <c r="M120" i="76"/>
  <c r="M119" i="76"/>
  <c r="M118" i="76"/>
  <c r="M117" i="76"/>
  <c r="M116" i="76"/>
  <c r="M115" i="76"/>
  <c r="M114" i="76"/>
  <c r="M113" i="76"/>
  <c r="M112" i="76"/>
  <c r="M111" i="76"/>
  <c r="M110" i="76"/>
  <c r="M109" i="76"/>
  <c r="M108" i="76"/>
  <c r="M107" i="76"/>
  <c r="M106" i="76"/>
  <c r="M105" i="76"/>
  <c r="M104" i="76"/>
  <c r="M103" i="76"/>
  <c r="M102" i="76"/>
  <c r="M101" i="76"/>
  <c r="M100" i="76"/>
  <c r="M99" i="76"/>
  <c r="M98" i="76"/>
  <c r="M97" i="76"/>
  <c r="M96" i="76"/>
  <c r="M95" i="76"/>
  <c r="M94" i="76"/>
  <c r="M93" i="76"/>
  <c r="M92" i="76"/>
  <c r="M91" i="76"/>
  <c r="M90" i="76"/>
  <c r="M89" i="76"/>
  <c r="M88" i="76"/>
  <c r="M87" i="76"/>
  <c r="M86" i="76"/>
  <c r="M85" i="76"/>
  <c r="M84" i="76"/>
  <c r="M83" i="76"/>
  <c r="M82" i="76"/>
  <c r="M81" i="76"/>
  <c r="M80" i="76"/>
  <c r="M79" i="76"/>
  <c r="M78" i="76"/>
  <c r="M77" i="76"/>
  <c r="M76" i="76"/>
  <c r="M75" i="76"/>
  <c r="M74" i="76"/>
  <c r="M73" i="76"/>
  <c r="M72" i="76"/>
  <c r="M71" i="76"/>
  <c r="M70" i="76"/>
  <c r="M69" i="76"/>
  <c r="M68" i="76"/>
  <c r="M67" i="76"/>
  <c r="M66" i="76"/>
  <c r="M65" i="76"/>
  <c r="M64" i="76"/>
  <c r="M63" i="76"/>
  <c r="M62" i="76"/>
  <c r="M61" i="76"/>
  <c r="M60" i="76"/>
  <c r="M59" i="76"/>
  <c r="M58" i="76"/>
  <c r="M57" i="76"/>
  <c r="M56" i="76"/>
  <c r="M55" i="76"/>
  <c r="M54" i="76"/>
  <c r="M53" i="76"/>
  <c r="M52" i="76"/>
  <c r="M51" i="76"/>
  <c r="M50" i="76"/>
  <c r="M49" i="76"/>
  <c r="M48" i="76"/>
  <c r="M47" i="76"/>
  <c r="M46" i="76"/>
  <c r="M45" i="76"/>
  <c r="M44" i="76"/>
  <c r="M43" i="76"/>
  <c r="M42" i="76"/>
  <c r="M41" i="76"/>
  <c r="M40" i="76"/>
  <c r="M39" i="76"/>
  <c r="M38" i="76"/>
  <c r="M37" i="76"/>
  <c r="M36" i="76"/>
  <c r="M35" i="76"/>
  <c r="M34" i="76"/>
  <c r="M33" i="76"/>
  <c r="M32" i="76"/>
  <c r="M31" i="76"/>
  <c r="M30" i="76"/>
  <c r="M29" i="76"/>
  <c r="M28" i="76"/>
  <c r="M27" i="76"/>
  <c r="M26" i="76"/>
  <c r="M25" i="76"/>
  <c r="M24" i="76"/>
  <c r="M23" i="76"/>
  <c r="M22" i="76"/>
  <c r="M21" i="76"/>
  <c r="M20" i="76"/>
  <c r="M19" i="76"/>
  <c r="M18" i="76"/>
  <c r="M17" i="76"/>
  <c r="M16" i="76"/>
  <c r="M15" i="76"/>
  <c r="M14" i="76"/>
  <c r="M13" i="76"/>
  <c r="M12" i="76"/>
  <c r="M11" i="76"/>
  <c r="M10" i="76"/>
  <c r="M9" i="76"/>
  <c r="M306" i="75"/>
  <c r="M305" i="75"/>
  <c r="M304" i="75"/>
  <c r="M303" i="75"/>
  <c r="M302" i="75"/>
  <c r="M301" i="75"/>
  <c r="M300" i="75"/>
  <c r="M299" i="75"/>
  <c r="M298" i="75"/>
  <c r="M297" i="75"/>
  <c r="M296" i="75"/>
  <c r="M295" i="75"/>
  <c r="M294" i="75"/>
  <c r="M293" i="75"/>
  <c r="M292" i="75"/>
  <c r="M291" i="75"/>
  <c r="M290" i="75"/>
  <c r="M289" i="75"/>
  <c r="M288" i="75"/>
  <c r="M287" i="75"/>
  <c r="M286" i="75"/>
  <c r="M285" i="75"/>
  <c r="M284" i="75"/>
  <c r="M283" i="75"/>
  <c r="M282" i="75"/>
  <c r="M281" i="75"/>
  <c r="M280" i="75"/>
  <c r="M279" i="75"/>
  <c r="M278" i="75"/>
  <c r="M277" i="75"/>
  <c r="M276" i="75"/>
  <c r="M275" i="75"/>
  <c r="M274" i="75"/>
  <c r="M273" i="75"/>
  <c r="M272" i="75"/>
  <c r="M271" i="75"/>
  <c r="M270" i="75"/>
  <c r="M269" i="75"/>
  <c r="M268" i="75"/>
  <c r="M267" i="75"/>
  <c r="M266" i="75"/>
  <c r="M265" i="75"/>
  <c r="M264" i="75"/>
  <c r="M263" i="75"/>
  <c r="M262" i="75"/>
  <c r="M261" i="75"/>
  <c r="M260" i="75"/>
  <c r="M259" i="75"/>
  <c r="M258" i="75"/>
  <c r="M257" i="75"/>
  <c r="M256" i="75"/>
  <c r="M255" i="75"/>
  <c r="M254" i="75"/>
  <c r="M253" i="75"/>
  <c r="M252" i="75"/>
  <c r="M251" i="75"/>
  <c r="M250" i="75"/>
  <c r="M249" i="75"/>
  <c r="M248" i="75"/>
  <c r="M247" i="75"/>
  <c r="M246" i="75"/>
  <c r="M245" i="75"/>
  <c r="M244" i="75"/>
  <c r="M243" i="75"/>
  <c r="M242" i="75"/>
  <c r="M241" i="75"/>
  <c r="M240" i="75"/>
  <c r="M239" i="75"/>
  <c r="M238" i="75"/>
  <c r="M237" i="75"/>
  <c r="M236" i="75"/>
  <c r="M235" i="75"/>
  <c r="M234" i="75"/>
  <c r="M233" i="75"/>
  <c r="M232" i="75"/>
  <c r="M231" i="75"/>
  <c r="M230" i="75"/>
  <c r="M229" i="75"/>
  <c r="M228" i="75"/>
  <c r="M227" i="75"/>
  <c r="M226" i="75"/>
  <c r="M225" i="75"/>
  <c r="M224" i="75"/>
  <c r="M223" i="75"/>
  <c r="M222" i="75"/>
  <c r="M221" i="75"/>
  <c r="M220" i="75"/>
  <c r="M219" i="75"/>
  <c r="M218" i="75"/>
  <c r="M217" i="75"/>
  <c r="M216" i="75"/>
  <c r="M215" i="75"/>
  <c r="M214" i="75"/>
  <c r="M213" i="75"/>
  <c r="M212" i="75"/>
  <c r="M211" i="75"/>
  <c r="M210" i="75"/>
  <c r="M209" i="75"/>
  <c r="M208" i="75"/>
  <c r="M207" i="75"/>
  <c r="M206" i="75"/>
  <c r="M205" i="75"/>
  <c r="M204" i="75"/>
  <c r="M203" i="75"/>
  <c r="M202" i="75"/>
  <c r="M201" i="75"/>
  <c r="M200" i="75"/>
  <c r="M199" i="75"/>
  <c r="M198" i="75"/>
  <c r="M197" i="75"/>
  <c r="M196" i="75"/>
  <c r="M195" i="75"/>
  <c r="M194" i="75"/>
  <c r="M193" i="75"/>
  <c r="M192" i="75"/>
  <c r="M191" i="75"/>
  <c r="M190" i="75"/>
  <c r="M189" i="75"/>
  <c r="M188" i="75"/>
  <c r="M187" i="75"/>
  <c r="M186" i="75"/>
  <c r="M185" i="75"/>
  <c r="M184" i="75"/>
  <c r="M183" i="75"/>
  <c r="M182" i="75"/>
  <c r="M181" i="75"/>
  <c r="M180" i="75"/>
  <c r="M179" i="75"/>
  <c r="M178" i="75"/>
  <c r="M177" i="75"/>
  <c r="M176" i="75"/>
  <c r="M175" i="75"/>
  <c r="M174" i="75"/>
  <c r="M173" i="75"/>
  <c r="M172" i="75"/>
  <c r="M171" i="75"/>
  <c r="M170" i="75"/>
  <c r="M169" i="75"/>
  <c r="M168" i="75"/>
  <c r="M167" i="75"/>
  <c r="M166" i="75"/>
  <c r="M165" i="75"/>
  <c r="M164" i="75"/>
  <c r="M163" i="75"/>
  <c r="M162" i="75"/>
  <c r="M161" i="75"/>
  <c r="M160" i="75"/>
  <c r="M159" i="75"/>
  <c r="M158" i="75"/>
  <c r="M157" i="75"/>
  <c r="M156" i="75"/>
  <c r="M155" i="75"/>
  <c r="M154" i="75"/>
  <c r="M153" i="75"/>
  <c r="M152" i="75"/>
  <c r="M151" i="75"/>
  <c r="M150" i="75"/>
  <c r="M149" i="75"/>
  <c r="M148" i="75"/>
  <c r="M147" i="75"/>
  <c r="M146" i="75"/>
  <c r="M145" i="75"/>
  <c r="M144" i="75"/>
  <c r="M143" i="75"/>
  <c r="M142" i="75"/>
  <c r="M141" i="75"/>
  <c r="M140" i="75"/>
  <c r="M139" i="75"/>
  <c r="M138" i="75"/>
  <c r="M137" i="75"/>
  <c r="M136" i="75"/>
  <c r="M135" i="75"/>
  <c r="M134" i="75"/>
  <c r="M133" i="75"/>
  <c r="M132" i="75"/>
  <c r="M131" i="75"/>
  <c r="M130" i="75"/>
  <c r="M129" i="75"/>
  <c r="M128" i="75"/>
  <c r="M127" i="75"/>
  <c r="M126" i="75"/>
  <c r="M125" i="75"/>
  <c r="M124" i="75"/>
  <c r="M123" i="75"/>
  <c r="M122" i="75"/>
  <c r="M121" i="75"/>
  <c r="M120" i="75"/>
  <c r="M119" i="75"/>
  <c r="M118" i="75"/>
  <c r="M117" i="75"/>
  <c r="M116" i="75"/>
  <c r="M115" i="75"/>
  <c r="M114" i="75"/>
  <c r="M113" i="75"/>
  <c r="M112" i="75"/>
  <c r="M111" i="75"/>
  <c r="M110" i="75"/>
  <c r="M109" i="75"/>
  <c r="M108" i="75"/>
  <c r="M107" i="75"/>
  <c r="M106" i="75"/>
  <c r="M105" i="75"/>
  <c r="M104" i="75"/>
  <c r="M103" i="75"/>
  <c r="M102" i="75"/>
  <c r="M101" i="75"/>
  <c r="M100" i="75"/>
  <c r="M99" i="75"/>
  <c r="M98" i="75"/>
  <c r="M97" i="75"/>
  <c r="M96" i="75"/>
  <c r="M95" i="75"/>
  <c r="M94" i="75"/>
  <c r="M93" i="75"/>
  <c r="M92" i="75"/>
  <c r="M91" i="75"/>
  <c r="M90" i="75"/>
  <c r="M89" i="75"/>
  <c r="M88" i="75"/>
  <c r="M87" i="75"/>
  <c r="M86" i="75"/>
  <c r="M85" i="75"/>
  <c r="M84" i="75"/>
  <c r="M83" i="75"/>
  <c r="M82" i="75"/>
  <c r="M81" i="75"/>
  <c r="M80" i="75"/>
  <c r="M79" i="75"/>
  <c r="M78" i="75"/>
  <c r="M77" i="75"/>
  <c r="M76" i="75"/>
  <c r="M75" i="75"/>
  <c r="M74" i="75"/>
  <c r="M73" i="75"/>
  <c r="M72" i="75"/>
  <c r="M71" i="75"/>
  <c r="M70" i="75"/>
  <c r="M69" i="75"/>
  <c r="M68" i="75"/>
  <c r="M67" i="75"/>
  <c r="M66" i="75"/>
  <c r="M65" i="75"/>
  <c r="M64" i="75"/>
  <c r="M63" i="75"/>
  <c r="M62" i="75"/>
  <c r="M61" i="75"/>
  <c r="M60" i="75"/>
  <c r="M59" i="75"/>
  <c r="M58" i="75"/>
  <c r="M57" i="75"/>
  <c r="M56" i="75"/>
  <c r="M55" i="75"/>
  <c r="M54" i="75"/>
  <c r="M53" i="75"/>
  <c r="M52" i="75"/>
  <c r="M51" i="75"/>
  <c r="M50" i="75"/>
  <c r="M49" i="75"/>
  <c r="M48" i="75"/>
  <c r="M47" i="75"/>
  <c r="M46" i="75"/>
  <c r="M45" i="75"/>
  <c r="M44" i="75"/>
  <c r="M43" i="75"/>
  <c r="M42" i="75"/>
  <c r="M41" i="75"/>
  <c r="M40" i="75"/>
  <c r="M39" i="75"/>
  <c r="M38" i="75"/>
  <c r="M37" i="75"/>
  <c r="M36" i="75"/>
  <c r="M35" i="75"/>
  <c r="M34" i="75"/>
  <c r="M33" i="75"/>
  <c r="M32" i="75"/>
  <c r="M31" i="75"/>
  <c r="M30" i="75"/>
  <c r="M29" i="75"/>
  <c r="M28" i="75"/>
  <c r="M27" i="75"/>
  <c r="M26" i="75"/>
  <c r="M25" i="75"/>
  <c r="M24" i="75"/>
  <c r="M23" i="75"/>
  <c r="M22" i="75"/>
  <c r="M21" i="75"/>
  <c r="M20" i="75"/>
  <c r="M19" i="75"/>
  <c r="M18" i="75"/>
  <c r="M17" i="75"/>
  <c r="M16" i="75"/>
  <c r="M15" i="75"/>
  <c r="M14" i="75"/>
  <c r="M13" i="75"/>
  <c r="M12" i="75"/>
  <c r="M11" i="75"/>
  <c r="M10" i="75"/>
  <c r="M9" i="75"/>
  <c r="M306" i="74"/>
  <c r="M305" i="74"/>
  <c r="M304" i="74"/>
  <c r="M303" i="74"/>
  <c r="M302" i="74"/>
  <c r="M301" i="74"/>
  <c r="M300" i="74"/>
  <c r="M299" i="74"/>
  <c r="M298" i="74"/>
  <c r="M297" i="74"/>
  <c r="M296" i="74"/>
  <c r="M295" i="74"/>
  <c r="M294" i="74"/>
  <c r="M293" i="74"/>
  <c r="M292" i="74"/>
  <c r="M291" i="74"/>
  <c r="M290" i="74"/>
  <c r="M289" i="74"/>
  <c r="M288" i="74"/>
  <c r="M287" i="74"/>
  <c r="M286" i="74"/>
  <c r="M285" i="74"/>
  <c r="M284" i="74"/>
  <c r="M283" i="74"/>
  <c r="M282" i="74"/>
  <c r="M281" i="74"/>
  <c r="M280" i="74"/>
  <c r="M279" i="74"/>
  <c r="M278" i="74"/>
  <c r="M277" i="74"/>
  <c r="M276" i="74"/>
  <c r="M275" i="74"/>
  <c r="M274" i="74"/>
  <c r="M273" i="74"/>
  <c r="M272" i="74"/>
  <c r="M271" i="74"/>
  <c r="M270" i="74"/>
  <c r="M269" i="74"/>
  <c r="M268" i="74"/>
  <c r="M267" i="74"/>
  <c r="M266" i="74"/>
  <c r="M265" i="74"/>
  <c r="M264" i="74"/>
  <c r="M263" i="74"/>
  <c r="M262" i="74"/>
  <c r="M261" i="74"/>
  <c r="M260" i="74"/>
  <c r="M259" i="74"/>
  <c r="M258" i="74"/>
  <c r="M257" i="74"/>
  <c r="M256" i="74"/>
  <c r="M255" i="74"/>
  <c r="M254" i="74"/>
  <c r="M253" i="74"/>
  <c r="M252" i="74"/>
  <c r="M251" i="74"/>
  <c r="M250" i="74"/>
  <c r="M249" i="74"/>
  <c r="M248" i="74"/>
  <c r="M247" i="74"/>
  <c r="M246" i="74"/>
  <c r="M245" i="74"/>
  <c r="M244" i="74"/>
  <c r="M243" i="74"/>
  <c r="M242" i="74"/>
  <c r="M241" i="74"/>
  <c r="M240" i="74"/>
  <c r="M239" i="74"/>
  <c r="M238" i="74"/>
  <c r="M237" i="74"/>
  <c r="M236" i="74"/>
  <c r="M235" i="74"/>
  <c r="M234" i="74"/>
  <c r="M233" i="74"/>
  <c r="M232" i="74"/>
  <c r="M231" i="74"/>
  <c r="M230" i="74"/>
  <c r="M229" i="74"/>
  <c r="M228" i="74"/>
  <c r="M227" i="74"/>
  <c r="M226" i="74"/>
  <c r="M225" i="74"/>
  <c r="M224" i="74"/>
  <c r="M223" i="74"/>
  <c r="M222" i="74"/>
  <c r="M221" i="74"/>
  <c r="M220" i="74"/>
  <c r="M219" i="74"/>
  <c r="M218" i="74"/>
  <c r="M217" i="74"/>
  <c r="M216" i="74"/>
  <c r="M215" i="74"/>
  <c r="M214" i="74"/>
  <c r="M213" i="74"/>
  <c r="M212" i="74"/>
  <c r="M211" i="74"/>
  <c r="M210" i="74"/>
  <c r="M209" i="74"/>
  <c r="M208" i="74"/>
  <c r="M207" i="74"/>
  <c r="M206" i="74"/>
  <c r="M205" i="74"/>
  <c r="M204" i="74"/>
  <c r="M203" i="74"/>
  <c r="M202" i="74"/>
  <c r="M201" i="74"/>
  <c r="M200" i="74"/>
  <c r="M199" i="74"/>
  <c r="M198" i="74"/>
  <c r="M197" i="74"/>
  <c r="M196" i="74"/>
  <c r="M195" i="74"/>
  <c r="M194" i="74"/>
  <c r="M193" i="74"/>
  <c r="M192" i="74"/>
  <c r="M191" i="74"/>
  <c r="M190" i="74"/>
  <c r="M189" i="74"/>
  <c r="M188" i="74"/>
  <c r="M187" i="74"/>
  <c r="M186" i="74"/>
  <c r="M185" i="74"/>
  <c r="M184" i="74"/>
  <c r="M183" i="74"/>
  <c r="M182" i="74"/>
  <c r="M181" i="74"/>
  <c r="M180" i="74"/>
  <c r="M179" i="74"/>
  <c r="M178" i="74"/>
  <c r="M177" i="74"/>
  <c r="M176" i="74"/>
  <c r="M175" i="74"/>
  <c r="M174" i="74"/>
  <c r="M173" i="74"/>
  <c r="M172" i="74"/>
  <c r="M171" i="74"/>
  <c r="M170" i="74"/>
  <c r="M169" i="74"/>
  <c r="M168" i="74"/>
  <c r="M167" i="74"/>
  <c r="M166" i="74"/>
  <c r="M165" i="74"/>
  <c r="M164" i="74"/>
  <c r="M163" i="74"/>
  <c r="M162" i="74"/>
  <c r="M161" i="74"/>
  <c r="M160" i="74"/>
  <c r="M159" i="74"/>
  <c r="M158" i="74"/>
  <c r="M157" i="74"/>
  <c r="M156" i="74"/>
  <c r="M155" i="74"/>
  <c r="M154" i="74"/>
  <c r="M153" i="74"/>
  <c r="M152" i="74"/>
  <c r="M151" i="74"/>
  <c r="M150" i="74"/>
  <c r="M149" i="74"/>
  <c r="M148" i="74"/>
  <c r="M147" i="74"/>
  <c r="M146" i="74"/>
  <c r="M145" i="74"/>
  <c r="M144" i="74"/>
  <c r="M143" i="74"/>
  <c r="M142" i="74"/>
  <c r="M141" i="74"/>
  <c r="M140" i="74"/>
  <c r="M139" i="74"/>
  <c r="M138" i="74"/>
  <c r="M137" i="74"/>
  <c r="M136" i="74"/>
  <c r="M135" i="74"/>
  <c r="M134" i="74"/>
  <c r="M133" i="74"/>
  <c r="M132" i="74"/>
  <c r="M131" i="74"/>
  <c r="M130" i="74"/>
  <c r="M129" i="74"/>
  <c r="M128" i="74"/>
  <c r="M127" i="74"/>
  <c r="M126" i="74"/>
  <c r="M125" i="74"/>
  <c r="M124" i="74"/>
  <c r="M123" i="74"/>
  <c r="M122" i="74"/>
  <c r="M121" i="74"/>
  <c r="M120" i="74"/>
  <c r="M119" i="74"/>
  <c r="M118" i="74"/>
  <c r="M117" i="74"/>
  <c r="M116" i="74"/>
  <c r="M115" i="74"/>
  <c r="M114" i="74"/>
  <c r="M113" i="74"/>
  <c r="M112" i="74"/>
  <c r="M111" i="74"/>
  <c r="M110" i="74"/>
  <c r="M109" i="74"/>
  <c r="M108" i="74"/>
  <c r="M107" i="74"/>
  <c r="M106" i="74"/>
  <c r="M105" i="74"/>
  <c r="M104" i="74"/>
  <c r="M103" i="74"/>
  <c r="M102" i="74"/>
  <c r="M101" i="74"/>
  <c r="M100" i="74"/>
  <c r="M99" i="74"/>
  <c r="M98" i="74"/>
  <c r="M97" i="74"/>
  <c r="M96" i="74"/>
  <c r="M95" i="74"/>
  <c r="M94" i="74"/>
  <c r="M93" i="74"/>
  <c r="M92" i="74"/>
  <c r="M91" i="74"/>
  <c r="M90" i="74"/>
  <c r="M89" i="74"/>
  <c r="M88" i="74"/>
  <c r="M87" i="74"/>
  <c r="M86" i="74"/>
  <c r="M85" i="74"/>
  <c r="M84" i="74"/>
  <c r="M83" i="74"/>
  <c r="M82" i="74"/>
  <c r="M81" i="74"/>
  <c r="M80" i="74"/>
  <c r="M79" i="74"/>
  <c r="M78" i="74"/>
  <c r="M77" i="74"/>
  <c r="M76" i="74"/>
  <c r="M75" i="74"/>
  <c r="M74" i="74"/>
  <c r="M73" i="74"/>
  <c r="M72" i="74"/>
  <c r="M71" i="74"/>
  <c r="M70" i="74"/>
  <c r="M69" i="74"/>
  <c r="M68" i="74"/>
  <c r="M67" i="74"/>
  <c r="M66" i="74"/>
  <c r="M65" i="74"/>
  <c r="M64" i="74"/>
  <c r="M63" i="74"/>
  <c r="M62" i="74"/>
  <c r="M61" i="74"/>
  <c r="M60" i="74"/>
  <c r="M59" i="74"/>
  <c r="M58" i="74"/>
  <c r="M57" i="74"/>
  <c r="M56" i="74"/>
  <c r="M55" i="74"/>
  <c r="M54" i="74"/>
  <c r="M53" i="74"/>
  <c r="M52" i="74"/>
  <c r="M51" i="74"/>
  <c r="M50" i="74"/>
  <c r="M49" i="74"/>
  <c r="M48" i="74"/>
  <c r="M47" i="74"/>
  <c r="M46" i="74"/>
  <c r="M45" i="74"/>
  <c r="M44" i="74"/>
  <c r="M43" i="74"/>
  <c r="M42" i="74"/>
  <c r="M41" i="74"/>
  <c r="M40" i="74"/>
  <c r="M39" i="74"/>
  <c r="M38" i="74"/>
  <c r="M37" i="74"/>
  <c r="M36" i="74"/>
  <c r="M35" i="74"/>
  <c r="M34" i="74"/>
  <c r="M33" i="74"/>
  <c r="M32" i="74"/>
  <c r="M31" i="74"/>
  <c r="M30" i="74"/>
  <c r="M29" i="74"/>
  <c r="M28" i="74"/>
  <c r="M27" i="74"/>
  <c r="M26" i="74"/>
  <c r="M25" i="74"/>
  <c r="M24" i="74"/>
  <c r="M23" i="74"/>
  <c r="M22" i="74"/>
  <c r="M21" i="74"/>
  <c r="M20" i="74"/>
  <c r="M19" i="74"/>
  <c r="M18" i="74"/>
  <c r="M17" i="74"/>
  <c r="M16" i="74"/>
  <c r="M15" i="74"/>
  <c r="M14" i="74"/>
  <c r="M13" i="74"/>
  <c r="M12" i="74"/>
  <c r="M11" i="74"/>
  <c r="M10" i="74"/>
  <c r="M9" i="74"/>
  <c r="M306" i="73"/>
  <c r="M305" i="73"/>
  <c r="M304" i="73"/>
  <c r="M303" i="73"/>
  <c r="M302" i="73"/>
  <c r="M301" i="73"/>
  <c r="M300" i="73"/>
  <c r="M299" i="73"/>
  <c r="M298" i="73"/>
  <c r="M297" i="73"/>
  <c r="M296" i="73"/>
  <c r="M295" i="73"/>
  <c r="M294" i="73"/>
  <c r="M293" i="73"/>
  <c r="M292" i="73"/>
  <c r="M291" i="73"/>
  <c r="M290" i="73"/>
  <c r="M289" i="73"/>
  <c r="M288" i="73"/>
  <c r="M287" i="73"/>
  <c r="M286" i="73"/>
  <c r="M285" i="73"/>
  <c r="M284" i="73"/>
  <c r="M283" i="73"/>
  <c r="M282" i="73"/>
  <c r="M281" i="73"/>
  <c r="M280" i="73"/>
  <c r="M279" i="73"/>
  <c r="M278" i="73"/>
  <c r="M277" i="73"/>
  <c r="M276" i="73"/>
  <c r="M275" i="73"/>
  <c r="M274" i="73"/>
  <c r="M273" i="73"/>
  <c r="M272" i="73"/>
  <c r="M271" i="73"/>
  <c r="M270" i="73"/>
  <c r="M269" i="73"/>
  <c r="M268" i="73"/>
  <c r="M267" i="73"/>
  <c r="M266" i="73"/>
  <c r="M265" i="73"/>
  <c r="M264" i="73"/>
  <c r="M263" i="73"/>
  <c r="M262" i="73"/>
  <c r="M261" i="73"/>
  <c r="M260" i="73"/>
  <c r="M259" i="73"/>
  <c r="M258" i="73"/>
  <c r="M257" i="73"/>
  <c r="M256" i="73"/>
  <c r="M255" i="73"/>
  <c r="M254" i="73"/>
  <c r="M253" i="73"/>
  <c r="M252" i="73"/>
  <c r="M251" i="73"/>
  <c r="M250" i="73"/>
  <c r="M249" i="73"/>
  <c r="M248" i="73"/>
  <c r="M247" i="73"/>
  <c r="M246" i="73"/>
  <c r="M245" i="73"/>
  <c r="M244" i="73"/>
  <c r="M243" i="73"/>
  <c r="M242" i="73"/>
  <c r="M241" i="73"/>
  <c r="M240" i="73"/>
  <c r="M239" i="73"/>
  <c r="M238" i="73"/>
  <c r="M237" i="73"/>
  <c r="M236" i="73"/>
  <c r="M235" i="73"/>
  <c r="M234" i="73"/>
  <c r="M233" i="73"/>
  <c r="M232" i="73"/>
  <c r="M231" i="73"/>
  <c r="M230" i="73"/>
  <c r="M229" i="73"/>
  <c r="M228" i="73"/>
  <c r="M227" i="73"/>
  <c r="M226" i="73"/>
  <c r="M225" i="73"/>
  <c r="M224" i="73"/>
  <c r="M223" i="73"/>
  <c r="M222" i="73"/>
  <c r="M221" i="73"/>
  <c r="M220" i="73"/>
  <c r="M219" i="73"/>
  <c r="M218" i="73"/>
  <c r="M217" i="73"/>
  <c r="M216" i="73"/>
  <c r="M215" i="73"/>
  <c r="M214" i="73"/>
  <c r="M213" i="73"/>
  <c r="M212" i="73"/>
  <c r="M211" i="73"/>
  <c r="M210" i="73"/>
  <c r="M209" i="73"/>
  <c r="M208" i="73"/>
  <c r="M207" i="73"/>
  <c r="M206" i="73"/>
  <c r="M205" i="73"/>
  <c r="M204" i="73"/>
  <c r="M203" i="73"/>
  <c r="M202" i="73"/>
  <c r="M201" i="73"/>
  <c r="M200" i="73"/>
  <c r="M199" i="73"/>
  <c r="M198" i="73"/>
  <c r="M197" i="73"/>
  <c r="M196" i="73"/>
  <c r="M195" i="73"/>
  <c r="M194" i="73"/>
  <c r="M193" i="73"/>
  <c r="M192" i="73"/>
  <c r="M191" i="73"/>
  <c r="M190" i="73"/>
  <c r="M189" i="73"/>
  <c r="M188" i="73"/>
  <c r="M187" i="73"/>
  <c r="M186" i="73"/>
  <c r="M185" i="73"/>
  <c r="M184" i="73"/>
  <c r="M183" i="73"/>
  <c r="M182" i="73"/>
  <c r="M181" i="73"/>
  <c r="M180" i="73"/>
  <c r="M179" i="73"/>
  <c r="M178" i="73"/>
  <c r="M177" i="73"/>
  <c r="M176" i="73"/>
  <c r="M175" i="73"/>
  <c r="M174" i="73"/>
  <c r="M173" i="73"/>
  <c r="M172" i="73"/>
  <c r="M171" i="73"/>
  <c r="M170" i="73"/>
  <c r="M169" i="73"/>
  <c r="M168" i="73"/>
  <c r="M167" i="73"/>
  <c r="M166" i="73"/>
  <c r="M165" i="73"/>
  <c r="M164" i="73"/>
  <c r="M163" i="73"/>
  <c r="M162" i="73"/>
  <c r="M161" i="73"/>
  <c r="M160" i="73"/>
  <c r="M159" i="73"/>
  <c r="M158" i="73"/>
  <c r="M157" i="73"/>
  <c r="M156" i="73"/>
  <c r="M155" i="73"/>
  <c r="M154" i="73"/>
  <c r="M153" i="73"/>
  <c r="M152" i="73"/>
  <c r="M151" i="73"/>
  <c r="M150" i="73"/>
  <c r="M149" i="73"/>
  <c r="M148" i="73"/>
  <c r="M147" i="73"/>
  <c r="M146" i="73"/>
  <c r="M145" i="73"/>
  <c r="M144" i="73"/>
  <c r="M143" i="73"/>
  <c r="M142" i="73"/>
  <c r="M141" i="73"/>
  <c r="M140" i="73"/>
  <c r="M139" i="73"/>
  <c r="M138" i="73"/>
  <c r="M137" i="73"/>
  <c r="M136" i="73"/>
  <c r="M135" i="73"/>
  <c r="M134" i="73"/>
  <c r="M133" i="73"/>
  <c r="M132" i="73"/>
  <c r="M131" i="73"/>
  <c r="M130" i="73"/>
  <c r="M129" i="73"/>
  <c r="M128" i="73"/>
  <c r="M127" i="73"/>
  <c r="M126" i="73"/>
  <c r="M125" i="73"/>
  <c r="M124" i="73"/>
  <c r="M123" i="73"/>
  <c r="M122" i="73"/>
  <c r="M121" i="73"/>
  <c r="M120" i="73"/>
  <c r="M119" i="73"/>
  <c r="M118" i="73"/>
  <c r="M117" i="73"/>
  <c r="M116" i="73"/>
  <c r="M115" i="73"/>
  <c r="M114" i="73"/>
  <c r="M113" i="73"/>
  <c r="M112" i="73"/>
  <c r="M111" i="73"/>
  <c r="M110" i="73"/>
  <c r="M109" i="73"/>
  <c r="M108" i="73"/>
  <c r="M107" i="73"/>
  <c r="M106" i="73"/>
  <c r="M105" i="73"/>
  <c r="M104" i="73"/>
  <c r="M103" i="73"/>
  <c r="M102" i="73"/>
  <c r="M101" i="73"/>
  <c r="M100" i="73"/>
  <c r="M99" i="73"/>
  <c r="M98" i="73"/>
  <c r="M97" i="73"/>
  <c r="M96" i="73"/>
  <c r="M95" i="73"/>
  <c r="M94" i="73"/>
  <c r="M93" i="73"/>
  <c r="M92" i="73"/>
  <c r="M91" i="73"/>
  <c r="M90" i="73"/>
  <c r="M89" i="73"/>
  <c r="M88" i="73"/>
  <c r="M87" i="73"/>
  <c r="M86" i="73"/>
  <c r="M85" i="73"/>
  <c r="M84" i="73"/>
  <c r="M83" i="73"/>
  <c r="M82" i="73"/>
  <c r="M81" i="73"/>
  <c r="M80" i="73"/>
  <c r="M79" i="73"/>
  <c r="M78" i="73"/>
  <c r="M77" i="73"/>
  <c r="M76" i="73"/>
  <c r="M75" i="73"/>
  <c r="M74" i="73"/>
  <c r="M73" i="73"/>
  <c r="M72" i="73"/>
  <c r="M71" i="73"/>
  <c r="M70" i="73"/>
  <c r="M69" i="73"/>
  <c r="M68" i="73"/>
  <c r="M67" i="73"/>
  <c r="M66" i="73"/>
  <c r="M65" i="73"/>
  <c r="M64" i="73"/>
  <c r="M63" i="73"/>
  <c r="M62" i="73"/>
  <c r="M61" i="73"/>
  <c r="M60" i="73"/>
  <c r="M59" i="73"/>
  <c r="M58" i="73"/>
  <c r="M57" i="73"/>
  <c r="M56" i="73"/>
  <c r="M55" i="73"/>
  <c r="M54" i="73"/>
  <c r="M53" i="73"/>
  <c r="M52" i="73"/>
  <c r="M51" i="73"/>
  <c r="M50" i="73"/>
  <c r="M49" i="73"/>
  <c r="M48" i="73"/>
  <c r="M47" i="73"/>
  <c r="M46" i="73"/>
  <c r="M45" i="73"/>
  <c r="M44" i="73"/>
  <c r="M43" i="73"/>
  <c r="M42" i="73"/>
  <c r="M41" i="73"/>
  <c r="M40" i="73"/>
  <c r="M39" i="73"/>
  <c r="M38" i="73"/>
  <c r="M37" i="73"/>
  <c r="M36" i="73"/>
  <c r="M35" i="73"/>
  <c r="M34" i="73"/>
  <c r="M33" i="73"/>
  <c r="M32" i="73"/>
  <c r="M31" i="73"/>
  <c r="M30" i="73"/>
  <c r="M29" i="73"/>
  <c r="M28" i="73"/>
  <c r="M27" i="73"/>
  <c r="M26" i="73"/>
  <c r="M25" i="73"/>
  <c r="M24" i="73"/>
  <c r="M23" i="73"/>
  <c r="M22" i="73"/>
  <c r="M21" i="73"/>
  <c r="M20" i="73"/>
  <c r="M19" i="73"/>
  <c r="M18" i="73"/>
  <c r="M17" i="73"/>
  <c r="M16" i="73"/>
  <c r="M15" i="73"/>
  <c r="M14" i="73"/>
  <c r="M13" i="73"/>
  <c r="M12" i="73"/>
  <c r="M11" i="73"/>
  <c r="M10" i="73"/>
  <c r="M9" i="73"/>
  <c r="M306" i="72"/>
  <c r="M305" i="72"/>
  <c r="M304" i="72"/>
  <c r="M303" i="72"/>
  <c r="M302" i="72"/>
  <c r="M301" i="72"/>
  <c r="M300" i="72"/>
  <c r="M299" i="72"/>
  <c r="M298" i="72"/>
  <c r="M297" i="72"/>
  <c r="M296" i="72"/>
  <c r="M295" i="72"/>
  <c r="M294" i="72"/>
  <c r="M293" i="72"/>
  <c r="M292" i="72"/>
  <c r="M291" i="72"/>
  <c r="M290" i="72"/>
  <c r="M289" i="72"/>
  <c r="M288" i="72"/>
  <c r="M287" i="72"/>
  <c r="M286" i="72"/>
  <c r="M285" i="72"/>
  <c r="M284" i="72"/>
  <c r="M283" i="72"/>
  <c r="M282" i="72"/>
  <c r="M281" i="72"/>
  <c r="M280" i="72"/>
  <c r="M279" i="72"/>
  <c r="M278" i="72"/>
  <c r="M277" i="72"/>
  <c r="M276" i="72"/>
  <c r="M275" i="72"/>
  <c r="M274" i="72"/>
  <c r="M273" i="72"/>
  <c r="M272" i="72"/>
  <c r="M271" i="72"/>
  <c r="M270" i="72"/>
  <c r="M269" i="72"/>
  <c r="M268" i="72"/>
  <c r="M267" i="72"/>
  <c r="M266" i="72"/>
  <c r="M265" i="72"/>
  <c r="M264" i="72"/>
  <c r="M263" i="72"/>
  <c r="M262" i="72"/>
  <c r="M261" i="72"/>
  <c r="M260" i="72"/>
  <c r="M259" i="72"/>
  <c r="M258" i="72"/>
  <c r="M257" i="72"/>
  <c r="M256" i="72"/>
  <c r="M255" i="72"/>
  <c r="M254" i="72"/>
  <c r="M253" i="72"/>
  <c r="M252" i="72"/>
  <c r="M251" i="72"/>
  <c r="M250" i="72"/>
  <c r="M249" i="72"/>
  <c r="M248" i="72"/>
  <c r="M247" i="72"/>
  <c r="M246" i="72"/>
  <c r="M245" i="72"/>
  <c r="M244" i="72"/>
  <c r="M243" i="72"/>
  <c r="M242" i="72"/>
  <c r="M241" i="72"/>
  <c r="M240" i="72"/>
  <c r="M239" i="72"/>
  <c r="M238" i="72"/>
  <c r="M237" i="72"/>
  <c r="M236" i="72"/>
  <c r="M235" i="72"/>
  <c r="M234" i="72"/>
  <c r="M233" i="72"/>
  <c r="M232" i="72"/>
  <c r="M231" i="72"/>
  <c r="M230" i="72"/>
  <c r="M229" i="72"/>
  <c r="M228" i="72"/>
  <c r="M227" i="72"/>
  <c r="M226" i="72"/>
  <c r="M225" i="72"/>
  <c r="M224" i="72"/>
  <c r="M223" i="72"/>
  <c r="M222" i="72"/>
  <c r="M221" i="72"/>
  <c r="M220" i="72"/>
  <c r="M219" i="72"/>
  <c r="M218" i="72"/>
  <c r="M217" i="72"/>
  <c r="M216" i="72"/>
  <c r="M215" i="72"/>
  <c r="M214" i="72"/>
  <c r="M213" i="72"/>
  <c r="M212" i="72"/>
  <c r="M211" i="72"/>
  <c r="M210" i="72"/>
  <c r="M209" i="72"/>
  <c r="M208" i="72"/>
  <c r="M207" i="72"/>
  <c r="M206" i="72"/>
  <c r="M205" i="72"/>
  <c r="M204" i="72"/>
  <c r="M203" i="72"/>
  <c r="M202" i="72"/>
  <c r="M201" i="72"/>
  <c r="M200" i="72"/>
  <c r="M199" i="72"/>
  <c r="M198" i="72"/>
  <c r="M197" i="72"/>
  <c r="M196" i="72"/>
  <c r="M195" i="72"/>
  <c r="M194" i="72"/>
  <c r="M193" i="72"/>
  <c r="M192" i="72"/>
  <c r="M191" i="72"/>
  <c r="M190" i="72"/>
  <c r="M189" i="72"/>
  <c r="M188" i="72"/>
  <c r="M187" i="72"/>
  <c r="M186" i="72"/>
  <c r="M185" i="72"/>
  <c r="M184" i="72"/>
  <c r="M183" i="72"/>
  <c r="M182" i="72"/>
  <c r="M181" i="72"/>
  <c r="M180" i="72"/>
  <c r="M179" i="72"/>
  <c r="M178" i="72"/>
  <c r="M177" i="72"/>
  <c r="M176" i="72"/>
  <c r="M175" i="72"/>
  <c r="M174" i="72"/>
  <c r="M173" i="72"/>
  <c r="M172" i="72"/>
  <c r="M171" i="72"/>
  <c r="M170" i="72"/>
  <c r="M169" i="72"/>
  <c r="M168" i="72"/>
  <c r="M167" i="72"/>
  <c r="M166" i="72"/>
  <c r="M165" i="72"/>
  <c r="M164" i="72"/>
  <c r="M163" i="72"/>
  <c r="M162" i="72"/>
  <c r="M161" i="72"/>
  <c r="M160" i="72"/>
  <c r="M159" i="72"/>
  <c r="M158" i="72"/>
  <c r="M157" i="72"/>
  <c r="M156" i="72"/>
  <c r="M155" i="72"/>
  <c r="M154" i="72"/>
  <c r="M153" i="72"/>
  <c r="M152" i="72"/>
  <c r="M151" i="72"/>
  <c r="M150" i="72"/>
  <c r="M149" i="72"/>
  <c r="M148" i="72"/>
  <c r="M147" i="72"/>
  <c r="M146" i="72"/>
  <c r="M145" i="72"/>
  <c r="M144" i="72"/>
  <c r="M143" i="72"/>
  <c r="M142" i="72"/>
  <c r="M141" i="72"/>
  <c r="M140" i="72"/>
  <c r="M139" i="72"/>
  <c r="M138" i="72"/>
  <c r="M137" i="72"/>
  <c r="M136" i="72"/>
  <c r="M135" i="72"/>
  <c r="M134" i="72"/>
  <c r="M133" i="72"/>
  <c r="M132" i="72"/>
  <c r="M131" i="72"/>
  <c r="M130" i="72"/>
  <c r="M129" i="72"/>
  <c r="M128" i="72"/>
  <c r="M127" i="72"/>
  <c r="M126" i="72"/>
  <c r="M125" i="72"/>
  <c r="M124" i="72"/>
  <c r="M123" i="72"/>
  <c r="M122" i="72"/>
  <c r="M121" i="72"/>
  <c r="M120" i="72"/>
  <c r="M119" i="72"/>
  <c r="M118" i="72"/>
  <c r="M117" i="72"/>
  <c r="M116" i="72"/>
  <c r="M115" i="72"/>
  <c r="M114" i="72"/>
  <c r="M113" i="72"/>
  <c r="M112" i="72"/>
  <c r="M111" i="72"/>
  <c r="M110" i="72"/>
  <c r="M109" i="72"/>
  <c r="M108" i="72"/>
  <c r="M107" i="72"/>
  <c r="M106" i="72"/>
  <c r="M105" i="72"/>
  <c r="M104" i="72"/>
  <c r="M103" i="72"/>
  <c r="M102" i="72"/>
  <c r="M101" i="72"/>
  <c r="M100" i="72"/>
  <c r="M99" i="72"/>
  <c r="M98" i="72"/>
  <c r="M97" i="72"/>
  <c r="M96" i="72"/>
  <c r="M95" i="72"/>
  <c r="M94" i="72"/>
  <c r="M93" i="72"/>
  <c r="M92" i="72"/>
  <c r="M91" i="72"/>
  <c r="M90" i="72"/>
  <c r="M89" i="72"/>
  <c r="M88" i="72"/>
  <c r="M87" i="72"/>
  <c r="M86" i="72"/>
  <c r="M85" i="72"/>
  <c r="M84" i="72"/>
  <c r="M83" i="72"/>
  <c r="M82" i="72"/>
  <c r="M81" i="72"/>
  <c r="M80" i="72"/>
  <c r="M79" i="72"/>
  <c r="M78" i="72"/>
  <c r="M77" i="72"/>
  <c r="M76" i="72"/>
  <c r="M75" i="72"/>
  <c r="M74" i="72"/>
  <c r="M73" i="72"/>
  <c r="M72" i="72"/>
  <c r="M71" i="72"/>
  <c r="M70" i="72"/>
  <c r="M69" i="72"/>
  <c r="M68" i="72"/>
  <c r="M67" i="72"/>
  <c r="M66" i="72"/>
  <c r="M65" i="72"/>
  <c r="M64" i="72"/>
  <c r="M63" i="72"/>
  <c r="M62" i="72"/>
  <c r="M61" i="72"/>
  <c r="M60" i="72"/>
  <c r="M59" i="72"/>
  <c r="M58" i="72"/>
  <c r="M57" i="72"/>
  <c r="M56" i="72"/>
  <c r="M55" i="72"/>
  <c r="M54" i="72"/>
  <c r="M53" i="72"/>
  <c r="M52" i="72"/>
  <c r="M51" i="72"/>
  <c r="M50" i="72"/>
  <c r="M49" i="72"/>
  <c r="M48" i="72"/>
  <c r="M47" i="72"/>
  <c r="M46" i="72"/>
  <c r="M45" i="72"/>
  <c r="M44" i="72"/>
  <c r="M43" i="72"/>
  <c r="M42" i="72"/>
  <c r="M41" i="72"/>
  <c r="M40" i="72"/>
  <c r="M39" i="72"/>
  <c r="M38" i="72"/>
  <c r="M37" i="72"/>
  <c r="M36" i="72"/>
  <c r="M35" i="72"/>
  <c r="M34" i="72"/>
  <c r="M33" i="72"/>
  <c r="M32" i="72"/>
  <c r="M31" i="72"/>
  <c r="M30" i="72"/>
  <c r="M29" i="72"/>
  <c r="M28" i="72"/>
  <c r="M27" i="72"/>
  <c r="M26" i="72"/>
  <c r="M25" i="72"/>
  <c r="M24" i="72"/>
  <c r="M23" i="72"/>
  <c r="M22" i="72"/>
  <c r="M21" i="72"/>
  <c r="M20" i="72"/>
  <c r="M19" i="72"/>
  <c r="M18" i="72"/>
  <c r="M17" i="72"/>
  <c r="M16" i="72"/>
  <c r="M15" i="72"/>
  <c r="M14" i="72"/>
  <c r="M13" i="72"/>
  <c r="M12" i="72"/>
  <c r="M11" i="72"/>
  <c r="M10" i="72"/>
  <c r="M9" i="72"/>
  <c r="M306" i="71"/>
  <c r="M305" i="71"/>
  <c r="M304" i="71"/>
  <c r="M303" i="71"/>
  <c r="M302" i="71"/>
  <c r="M301" i="71"/>
  <c r="M300" i="71"/>
  <c r="M299" i="71"/>
  <c r="M298" i="71"/>
  <c r="M297" i="71"/>
  <c r="M296" i="71"/>
  <c r="M295" i="71"/>
  <c r="M294" i="71"/>
  <c r="M293" i="71"/>
  <c r="M292" i="71"/>
  <c r="M291" i="71"/>
  <c r="M290" i="71"/>
  <c r="M289" i="71"/>
  <c r="M288" i="71"/>
  <c r="M287" i="71"/>
  <c r="M286" i="71"/>
  <c r="M285" i="71"/>
  <c r="M284" i="71"/>
  <c r="M283" i="71"/>
  <c r="M282" i="71"/>
  <c r="M281" i="71"/>
  <c r="M280" i="71"/>
  <c r="M279" i="71"/>
  <c r="M278" i="71"/>
  <c r="M277" i="71"/>
  <c r="M276" i="71"/>
  <c r="M275" i="71"/>
  <c r="M274" i="71"/>
  <c r="M273" i="71"/>
  <c r="M272" i="71"/>
  <c r="M271" i="71"/>
  <c r="M270" i="71"/>
  <c r="M269" i="71"/>
  <c r="M268" i="71"/>
  <c r="M267" i="71"/>
  <c r="M266" i="71"/>
  <c r="M265" i="71"/>
  <c r="M264" i="71"/>
  <c r="M263" i="71"/>
  <c r="M262" i="71"/>
  <c r="M261" i="71"/>
  <c r="M260" i="71"/>
  <c r="M259" i="71"/>
  <c r="M258" i="71"/>
  <c r="M257" i="71"/>
  <c r="M256" i="71"/>
  <c r="M255" i="71"/>
  <c r="M254" i="71"/>
  <c r="M253" i="71"/>
  <c r="M252" i="71"/>
  <c r="M251" i="71"/>
  <c r="M250" i="71"/>
  <c r="M249" i="71"/>
  <c r="M248" i="71"/>
  <c r="M247" i="71"/>
  <c r="M246" i="71"/>
  <c r="M245" i="71"/>
  <c r="M244" i="71"/>
  <c r="M243" i="71"/>
  <c r="M242" i="71"/>
  <c r="M241" i="71"/>
  <c r="M240" i="71"/>
  <c r="M239" i="71"/>
  <c r="M238" i="71"/>
  <c r="M237" i="71"/>
  <c r="M236" i="71"/>
  <c r="M235" i="71"/>
  <c r="M234" i="71"/>
  <c r="M233" i="71"/>
  <c r="M232" i="71"/>
  <c r="M231" i="71"/>
  <c r="M230" i="71"/>
  <c r="M229" i="71"/>
  <c r="M228" i="71"/>
  <c r="M227" i="71"/>
  <c r="M226" i="71"/>
  <c r="M225" i="71"/>
  <c r="M224" i="71"/>
  <c r="M223" i="71"/>
  <c r="M222" i="71"/>
  <c r="M221" i="71"/>
  <c r="M220" i="71"/>
  <c r="M219" i="71"/>
  <c r="M218" i="71"/>
  <c r="M217" i="71"/>
  <c r="M216" i="71"/>
  <c r="M215" i="71"/>
  <c r="M214" i="71"/>
  <c r="M213" i="71"/>
  <c r="M212" i="71"/>
  <c r="M211" i="71"/>
  <c r="M210" i="71"/>
  <c r="M209" i="71"/>
  <c r="M208" i="71"/>
  <c r="M207" i="71"/>
  <c r="M206" i="71"/>
  <c r="M205" i="71"/>
  <c r="M204" i="71"/>
  <c r="M203" i="71"/>
  <c r="M202" i="71"/>
  <c r="M201" i="71"/>
  <c r="M200" i="71"/>
  <c r="M199" i="71"/>
  <c r="M198" i="71"/>
  <c r="M197" i="71"/>
  <c r="M196" i="71"/>
  <c r="M195" i="71"/>
  <c r="M194" i="71"/>
  <c r="M193" i="71"/>
  <c r="M192" i="71"/>
  <c r="M191" i="71"/>
  <c r="M190" i="71"/>
  <c r="M189" i="71"/>
  <c r="M188" i="71"/>
  <c r="M187" i="71"/>
  <c r="M186" i="71"/>
  <c r="M185" i="71"/>
  <c r="M184" i="71"/>
  <c r="M183" i="71"/>
  <c r="M182" i="71"/>
  <c r="M181" i="71"/>
  <c r="M180" i="71"/>
  <c r="M179" i="71"/>
  <c r="M178" i="71"/>
  <c r="M177" i="71"/>
  <c r="M176" i="71"/>
  <c r="M175" i="71"/>
  <c r="M174" i="71"/>
  <c r="M173" i="71"/>
  <c r="M172" i="71"/>
  <c r="M171" i="71"/>
  <c r="M170" i="71"/>
  <c r="M169" i="71"/>
  <c r="M168" i="71"/>
  <c r="M167" i="71"/>
  <c r="M166" i="71"/>
  <c r="M165" i="71"/>
  <c r="M164" i="71"/>
  <c r="M163" i="71"/>
  <c r="M162" i="71"/>
  <c r="M161" i="71"/>
  <c r="M160" i="71"/>
  <c r="M159" i="71"/>
  <c r="M158" i="71"/>
  <c r="M157" i="71"/>
  <c r="M156" i="71"/>
  <c r="M155" i="71"/>
  <c r="M154" i="71"/>
  <c r="M153" i="71"/>
  <c r="M152" i="71"/>
  <c r="M151" i="71"/>
  <c r="M150" i="71"/>
  <c r="M149" i="71"/>
  <c r="M148" i="71"/>
  <c r="M147" i="71"/>
  <c r="M146" i="71"/>
  <c r="M145" i="71"/>
  <c r="M144" i="71"/>
  <c r="M143" i="71"/>
  <c r="M142" i="71"/>
  <c r="M141" i="71"/>
  <c r="M140" i="71"/>
  <c r="M139" i="71"/>
  <c r="M138" i="71"/>
  <c r="M137" i="71"/>
  <c r="M136" i="71"/>
  <c r="M135" i="71"/>
  <c r="M134" i="71"/>
  <c r="M133" i="71"/>
  <c r="M132" i="71"/>
  <c r="M131" i="71"/>
  <c r="M130" i="71"/>
  <c r="M129" i="71"/>
  <c r="M128" i="71"/>
  <c r="M127" i="71"/>
  <c r="M126" i="71"/>
  <c r="M125" i="71"/>
  <c r="M124" i="71"/>
  <c r="M123" i="71"/>
  <c r="M122" i="71"/>
  <c r="M121" i="71"/>
  <c r="M120" i="71"/>
  <c r="M119" i="71"/>
  <c r="M118" i="71"/>
  <c r="M117" i="71"/>
  <c r="M116" i="71"/>
  <c r="M115" i="71"/>
  <c r="M114" i="71"/>
  <c r="M113" i="71"/>
  <c r="M112" i="71"/>
  <c r="M111" i="71"/>
  <c r="M110" i="71"/>
  <c r="M109" i="71"/>
  <c r="M108" i="71"/>
  <c r="M107" i="71"/>
  <c r="M106" i="71"/>
  <c r="M105" i="71"/>
  <c r="M104" i="71"/>
  <c r="M103" i="71"/>
  <c r="M102" i="71"/>
  <c r="M101" i="71"/>
  <c r="M100" i="71"/>
  <c r="M99" i="71"/>
  <c r="M98" i="71"/>
  <c r="M97" i="71"/>
  <c r="M96" i="71"/>
  <c r="M95" i="71"/>
  <c r="M94" i="71"/>
  <c r="M93" i="71"/>
  <c r="M92" i="71"/>
  <c r="M91" i="71"/>
  <c r="M90" i="71"/>
  <c r="M89" i="71"/>
  <c r="M88" i="71"/>
  <c r="M87" i="71"/>
  <c r="M86" i="71"/>
  <c r="M85" i="71"/>
  <c r="M84" i="71"/>
  <c r="M83" i="71"/>
  <c r="M82" i="71"/>
  <c r="M81" i="71"/>
  <c r="M80" i="71"/>
  <c r="M79" i="71"/>
  <c r="M78" i="71"/>
  <c r="M77" i="71"/>
  <c r="M76" i="71"/>
  <c r="M75" i="71"/>
  <c r="M74" i="71"/>
  <c r="M73" i="71"/>
  <c r="M72" i="71"/>
  <c r="M71" i="71"/>
  <c r="M70" i="71"/>
  <c r="M69" i="71"/>
  <c r="M68" i="71"/>
  <c r="M67" i="71"/>
  <c r="M66" i="71"/>
  <c r="M65" i="71"/>
  <c r="M64" i="71"/>
  <c r="M63" i="71"/>
  <c r="M62" i="71"/>
  <c r="M61" i="71"/>
  <c r="M60" i="71"/>
  <c r="M59" i="71"/>
  <c r="M58" i="71"/>
  <c r="M57" i="71"/>
  <c r="M56" i="71"/>
  <c r="M55" i="71"/>
  <c r="M54" i="71"/>
  <c r="M53" i="71"/>
  <c r="M52" i="71"/>
  <c r="M51" i="71"/>
  <c r="M50" i="71"/>
  <c r="M49" i="71"/>
  <c r="M48" i="71"/>
  <c r="M47" i="71"/>
  <c r="M46" i="71"/>
  <c r="M45" i="71"/>
  <c r="M44" i="71"/>
  <c r="M43" i="71"/>
  <c r="M42" i="71"/>
  <c r="M41" i="71"/>
  <c r="M40" i="71"/>
  <c r="M39" i="71"/>
  <c r="M38" i="71"/>
  <c r="M37" i="71"/>
  <c r="M36" i="71"/>
  <c r="M35" i="71"/>
  <c r="M34" i="71"/>
  <c r="M33" i="71"/>
  <c r="M32" i="71"/>
  <c r="M31" i="71"/>
  <c r="M30" i="71"/>
  <c r="M29" i="71"/>
  <c r="M28" i="71"/>
  <c r="M27" i="71"/>
  <c r="M26" i="71"/>
  <c r="M25" i="71"/>
  <c r="M24" i="71"/>
  <c r="M23" i="71"/>
  <c r="M22" i="71"/>
  <c r="M21" i="71"/>
  <c r="M20" i="71"/>
  <c r="M19" i="71"/>
  <c r="M18" i="71"/>
  <c r="M17" i="71"/>
  <c r="M16" i="71"/>
  <c r="M15" i="71"/>
  <c r="M14" i="71"/>
  <c r="M13" i="71"/>
  <c r="M12" i="71"/>
  <c r="M11" i="71"/>
  <c r="M10" i="71"/>
  <c r="M9" i="71"/>
  <c r="M306" i="70"/>
  <c r="M305" i="70"/>
  <c r="M304" i="70"/>
  <c r="M303" i="70"/>
  <c r="M302" i="70"/>
  <c r="M301" i="70"/>
  <c r="M300" i="70"/>
  <c r="M299" i="70"/>
  <c r="M298" i="70"/>
  <c r="M297" i="70"/>
  <c r="M296" i="70"/>
  <c r="M295" i="70"/>
  <c r="M294" i="70"/>
  <c r="M293" i="70"/>
  <c r="M292" i="70"/>
  <c r="M291" i="70"/>
  <c r="M290" i="70"/>
  <c r="M289" i="70"/>
  <c r="M288" i="70"/>
  <c r="M287" i="70"/>
  <c r="M286" i="70"/>
  <c r="M285" i="70"/>
  <c r="M284" i="70"/>
  <c r="M283" i="70"/>
  <c r="M282" i="70"/>
  <c r="M281" i="70"/>
  <c r="M280" i="70"/>
  <c r="M279" i="70"/>
  <c r="M278" i="70"/>
  <c r="M277" i="70"/>
  <c r="M276" i="70"/>
  <c r="M275" i="70"/>
  <c r="M274" i="70"/>
  <c r="M273" i="70"/>
  <c r="M272" i="70"/>
  <c r="M271" i="70"/>
  <c r="M270" i="70"/>
  <c r="M269" i="70"/>
  <c r="M268" i="70"/>
  <c r="M267" i="70"/>
  <c r="M266" i="70"/>
  <c r="M265" i="70"/>
  <c r="M264" i="70"/>
  <c r="M263" i="70"/>
  <c r="M262" i="70"/>
  <c r="M261" i="70"/>
  <c r="M260" i="70"/>
  <c r="M259" i="70"/>
  <c r="M258" i="70"/>
  <c r="M257" i="70"/>
  <c r="M256" i="70"/>
  <c r="M255" i="70"/>
  <c r="M254" i="70"/>
  <c r="M253" i="70"/>
  <c r="M252" i="70"/>
  <c r="M251" i="70"/>
  <c r="M250" i="70"/>
  <c r="M249" i="70"/>
  <c r="M248" i="70"/>
  <c r="M247" i="70"/>
  <c r="M246" i="70"/>
  <c r="M245" i="70"/>
  <c r="M244" i="70"/>
  <c r="M243" i="70"/>
  <c r="M242" i="70"/>
  <c r="M241" i="70"/>
  <c r="M240" i="70"/>
  <c r="M239" i="70"/>
  <c r="M238" i="70"/>
  <c r="M237" i="70"/>
  <c r="M236" i="70"/>
  <c r="M235" i="70"/>
  <c r="M234" i="70"/>
  <c r="M233" i="70"/>
  <c r="M232" i="70"/>
  <c r="M231" i="70"/>
  <c r="M230" i="70"/>
  <c r="M229" i="70"/>
  <c r="M228" i="70"/>
  <c r="M227" i="70"/>
  <c r="M226" i="70"/>
  <c r="M225" i="70"/>
  <c r="M224" i="70"/>
  <c r="M223" i="70"/>
  <c r="M222" i="70"/>
  <c r="M221" i="70"/>
  <c r="M220" i="70"/>
  <c r="M219" i="70"/>
  <c r="M218" i="70"/>
  <c r="M217" i="70"/>
  <c r="M216" i="70"/>
  <c r="M215" i="70"/>
  <c r="M214" i="70"/>
  <c r="M213" i="70"/>
  <c r="M212" i="70"/>
  <c r="M211" i="70"/>
  <c r="M210" i="70"/>
  <c r="M209" i="70"/>
  <c r="M208" i="70"/>
  <c r="M207" i="70"/>
  <c r="M206" i="70"/>
  <c r="M205" i="70"/>
  <c r="M204" i="70"/>
  <c r="M203" i="70"/>
  <c r="M202" i="70"/>
  <c r="M201" i="70"/>
  <c r="M200" i="70"/>
  <c r="M199" i="70"/>
  <c r="M198" i="70"/>
  <c r="M197" i="70"/>
  <c r="M196" i="70"/>
  <c r="M195" i="70"/>
  <c r="M194" i="70"/>
  <c r="M193" i="70"/>
  <c r="M192" i="70"/>
  <c r="M191" i="70"/>
  <c r="M190" i="70"/>
  <c r="M189" i="70"/>
  <c r="M188" i="70"/>
  <c r="M187" i="70"/>
  <c r="M186" i="70"/>
  <c r="M185" i="70"/>
  <c r="M184" i="70"/>
  <c r="M183" i="70"/>
  <c r="M182" i="70"/>
  <c r="M181" i="70"/>
  <c r="M180" i="70"/>
  <c r="M179" i="70"/>
  <c r="M178" i="70"/>
  <c r="M177" i="70"/>
  <c r="M176" i="70"/>
  <c r="M175" i="70"/>
  <c r="M174" i="70"/>
  <c r="M173" i="70"/>
  <c r="M172" i="70"/>
  <c r="M171" i="70"/>
  <c r="M170" i="70"/>
  <c r="M169" i="70"/>
  <c r="M168" i="70"/>
  <c r="M167" i="70"/>
  <c r="M166" i="70"/>
  <c r="M165" i="70"/>
  <c r="M164" i="70"/>
  <c r="M163" i="70"/>
  <c r="M162" i="70"/>
  <c r="M161" i="70"/>
  <c r="M160" i="70"/>
  <c r="M159" i="70"/>
  <c r="M158" i="70"/>
  <c r="M157" i="70"/>
  <c r="M156" i="70"/>
  <c r="M155" i="70"/>
  <c r="M154" i="70"/>
  <c r="M153" i="70"/>
  <c r="M152" i="70"/>
  <c r="M151" i="70"/>
  <c r="M150" i="70"/>
  <c r="M149" i="70"/>
  <c r="M148" i="70"/>
  <c r="M147" i="70"/>
  <c r="M146" i="70"/>
  <c r="M145" i="70"/>
  <c r="M144" i="70"/>
  <c r="M143" i="70"/>
  <c r="M142" i="70"/>
  <c r="M141" i="70"/>
  <c r="M140" i="70"/>
  <c r="M139" i="70"/>
  <c r="M138" i="70"/>
  <c r="M137" i="70"/>
  <c r="M136" i="70"/>
  <c r="M135" i="70"/>
  <c r="M134" i="70"/>
  <c r="M133" i="70"/>
  <c r="M132" i="70"/>
  <c r="M131" i="70"/>
  <c r="M130" i="70"/>
  <c r="M129" i="70"/>
  <c r="M128" i="70"/>
  <c r="M127" i="70"/>
  <c r="M126" i="70"/>
  <c r="M125" i="70"/>
  <c r="M124" i="70"/>
  <c r="M123" i="70"/>
  <c r="M122" i="70"/>
  <c r="M121" i="70"/>
  <c r="M120" i="70"/>
  <c r="M119" i="70"/>
  <c r="M118" i="70"/>
  <c r="M117" i="70"/>
  <c r="M116" i="70"/>
  <c r="M115" i="70"/>
  <c r="M114" i="70"/>
  <c r="M113" i="70"/>
  <c r="M112" i="70"/>
  <c r="M111" i="70"/>
  <c r="M110" i="70"/>
  <c r="M109" i="70"/>
  <c r="M108" i="70"/>
  <c r="M107" i="70"/>
  <c r="M106" i="70"/>
  <c r="M105" i="70"/>
  <c r="M104" i="70"/>
  <c r="M103" i="70"/>
  <c r="M102" i="70"/>
  <c r="M101" i="70"/>
  <c r="M100" i="70"/>
  <c r="M99" i="70"/>
  <c r="M98" i="70"/>
  <c r="M97" i="70"/>
  <c r="M96" i="70"/>
  <c r="M95" i="70"/>
  <c r="M94" i="70"/>
  <c r="M93" i="70"/>
  <c r="M92" i="70"/>
  <c r="M91" i="70"/>
  <c r="M90" i="70"/>
  <c r="M89" i="70"/>
  <c r="M88" i="70"/>
  <c r="M87" i="70"/>
  <c r="M86" i="70"/>
  <c r="M85" i="70"/>
  <c r="M84" i="70"/>
  <c r="M83" i="70"/>
  <c r="M82" i="70"/>
  <c r="M81" i="70"/>
  <c r="M80" i="70"/>
  <c r="M79" i="70"/>
  <c r="M78" i="70"/>
  <c r="M77" i="70"/>
  <c r="M76" i="70"/>
  <c r="M75" i="70"/>
  <c r="M74" i="70"/>
  <c r="M73" i="70"/>
  <c r="M72" i="70"/>
  <c r="M71" i="70"/>
  <c r="M70" i="70"/>
  <c r="M69" i="70"/>
  <c r="M68" i="70"/>
  <c r="M67" i="70"/>
  <c r="M66" i="70"/>
  <c r="M65" i="70"/>
  <c r="M64" i="70"/>
  <c r="M63" i="70"/>
  <c r="M62" i="70"/>
  <c r="M61" i="70"/>
  <c r="M60" i="70"/>
  <c r="M59" i="70"/>
  <c r="M58" i="70"/>
  <c r="M57" i="70"/>
  <c r="M56" i="70"/>
  <c r="M55" i="70"/>
  <c r="M54" i="70"/>
  <c r="M53" i="70"/>
  <c r="M52" i="70"/>
  <c r="M51" i="70"/>
  <c r="M50" i="70"/>
  <c r="M49" i="70"/>
  <c r="M48" i="70"/>
  <c r="M47" i="70"/>
  <c r="M46" i="70"/>
  <c r="M45" i="70"/>
  <c r="M44" i="70"/>
  <c r="M43" i="70"/>
  <c r="M42" i="70"/>
  <c r="M41" i="70"/>
  <c r="M40" i="70"/>
  <c r="M39" i="70"/>
  <c r="M38" i="70"/>
  <c r="M37" i="70"/>
  <c r="M36" i="70"/>
  <c r="M35" i="70"/>
  <c r="M34" i="70"/>
  <c r="M33" i="70"/>
  <c r="M32" i="70"/>
  <c r="M31" i="70"/>
  <c r="M30" i="70"/>
  <c r="M29" i="70"/>
  <c r="M28" i="70"/>
  <c r="M27" i="70"/>
  <c r="M26" i="70"/>
  <c r="M25" i="70"/>
  <c r="M24" i="70"/>
  <c r="M23" i="70"/>
  <c r="M22" i="70"/>
  <c r="M21" i="70"/>
  <c r="M20" i="70"/>
  <c r="M19" i="70"/>
  <c r="M18" i="70"/>
  <c r="M17" i="70"/>
  <c r="M16" i="70"/>
  <c r="M15" i="70"/>
  <c r="M14" i="70"/>
  <c r="M13" i="70"/>
  <c r="M12" i="70"/>
  <c r="M11" i="70"/>
  <c r="M10" i="70"/>
  <c r="M9" i="70"/>
  <c r="M306" i="69"/>
  <c r="M305" i="69"/>
  <c r="M304" i="69"/>
  <c r="M303" i="69"/>
  <c r="M302" i="69"/>
  <c r="M301" i="69"/>
  <c r="M300" i="69"/>
  <c r="M299" i="69"/>
  <c r="M298" i="69"/>
  <c r="M297" i="69"/>
  <c r="M296" i="69"/>
  <c r="M295" i="69"/>
  <c r="M294" i="69"/>
  <c r="M293" i="69"/>
  <c r="M292" i="69"/>
  <c r="M291" i="69"/>
  <c r="M290" i="69"/>
  <c r="M289" i="69"/>
  <c r="M288" i="69"/>
  <c r="M287" i="69"/>
  <c r="M286" i="69"/>
  <c r="M285" i="69"/>
  <c r="M284" i="69"/>
  <c r="M283" i="69"/>
  <c r="M282" i="69"/>
  <c r="M281" i="69"/>
  <c r="M280" i="69"/>
  <c r="M279" i="69"/>
  <c r="M278" i="69"/>
  <c r="M277" i="69"/>
  <c r="M276" i="69"/>
  <c r="M275" i="69"/>
  <c r="M274" i="69"/>
  <c r="M273" i="69"/>
  <c r="M272" i="69"/>
  <c r="M271" i="69"/>
  <c r="M270" i="69"/>
  <c r="M269" i="69"/>
  <c r="M268" i="69"/>
  <c r="M267" i="69"/>
  <c r="M266" i="69"/>
  <c r="M265" i="69"/>
  <c r="M264" i="69"/>
  <c r="M263" i="69"/>
  <c r="M262" i="69"/>
  <c r="M261" i="69"/>
  <c r="M260" i="69"/>
  <c r="M259" i="69"/>
  <c r="M258" i="69"/>
  <c r="M257" i="69"/>
  <c r="M256" i="69"/>
  <c r="M255" i="69"/>
  <c r="M254" i="69"/>
  <c r="M253" i="69"/>
  <c r="M252" i="69"/>
  <c r="M251" i="69"/>
  <c r="M250" i="69"/>
  <c r="M249" i="69"/>
  <c r="M248" i="69"/>
  <c r="M247" i="69"/>
  <c r="M246" i="69"/>
  <c r="M245" i="69"/>
  <c r="M244" i="69"/>
  <c r="M243" i="69"/>
  <c r="M242" i="69"/>
  <c r="M241" i="69"/>
  <c r="M240" i="69"/>
  <c r="M239" i="69"/>
  <c r="M238" i="69"/>
  <c r="M237" i="69"/>
  <c r="M236" i="69"/>
  <c r="M235" i="69"/>
  <c r="M234" i="69"/>
  <c r="M233" i="69"/>
  <c r="M232" i="69"/>
  <c r="M231" i="69"/>
  <c r="M230" i="69"/>
  <c r="M229" i="69"/>
  <c r="M228" i="69"/>
  <c r="M227" i="69"/>
  <c r="M226" i="69"/>
  <c r="M225" i="69"/>
  <c r="M224" i="69"/>
  <c r="M223" i="69"/>
  <c r="M222" i="69"/>
  <c r="M221" i="69"/>
  <c r="M220" i="69"/>
  <c r="M219" i="69"/>
  <c r="M218" i="69"/>
  <c r="M217" i="69"/>
  <c r="M216" i="69"/>
  <c r="M215" i="69"/>
  <c r="M214" i="69"/>
  <c r="M213" i="69"/>
  <c r="M212" i="69"/>
  <c r="M211" i="69"/>
  <c r="M210" i="69"/>
  <c r="M209" i="69"/>
  <c r="M208" i="69"/>
  <c r="M207" i="69"/>
  <c r="M206" i="69"/>
  <c r="M205" i="69"/>
  <c r="M204" i="69"/>
  <c r="M203" i="69"/>
  <c r="M202" i="69"/>
  <c r="M201" i="69"/>
  <c r="M200" i="69"/>
  <c r="M199" i="69"/>
  <c r="M198" i="69"/>
  <c r="M197" i="69"/>
  <c r="M196" i="69"/>
  <c r="M195" i="69"/>
  <c r="M194" i="69"/>
  <c r="M193" i="69"/>
  <c r="M192" i="69"/>
  <c r="M191" i="69"/>
  <c r="M190" i="69"/>
  <c r="M189" i="69"/>
  <c r="M188" i="69"/>
  <c r="M187" i="69"/>
  <c r="M186" i="69"/>
  <c r="M185" i="69"/>
  <c r="M184" i="69"/>
  <c r="M183" i="69"/>
  <c r="M182" i="69"/>
  <c r="M181" i="69"/>
  <c r="M180" i="69"/>
  <c r="M179" i="69"/>
  <c r="M178" i="69"/>
  <c r="M177" i="69"/>
  <c r="M176" i="69"/>
  <c r="M175" i="69"/>
  <c r="M174" i="69"/>
  <c r="M173" i="69"/>
  <c r="M172" i="69"/>
  <c r="M171" i="69"/>
  <c r="M170" i="69"/>
  <c r="M169" i="69"/>
  <c r="M168" i="69"/>
  <c r="M167" i="69"/>
  <c r="M166" i="69"/>
  <c r="M165" i="69"/>
  <c r="M164" i="69"/>
  <c r="M163" i="69"/>
  <c r="M162" i="69"/>
  <c r="M161" i="69"/>
  <c r="M160" i="69"/>
  <c r="M159" i="69"/>
  <c r="M158" i="69"/>
  <c r="M157" i="69"/>
  <c r="M156" i="69"/>
  <c r="M155" i="69"/>
  <c r="M154" i="69"/>
  <c r="M153" i="69"/>
  <c r="M152" i="69"/>
  <c r="M151" i="69"/>
  <c r="M150" i="69"/>
  <c r="M149" i="69"/>
  <c r="M148" i="69"/>
  <c r="M147" i="69"/>
  <c r="M146" i="69"/>
  <c r="M145" i="69"/>
  <c r="M144" i="69"/>
  <c r="M143" i="69"/>
  <c r="M142" i="69"/>
  <c r="M141" i="69"/>
  <c r="M140" i="69"/>
  <c r="M139" i="69"/>
  <c r="M138" i="69"/>
  <c r="M137" i="69"/>
  <c r="M136" i="69"/>
  <c r="M135" i="69"/>
  <c r="M134" i="69"/>
  <c r="M133" i="69"/>
  <c r="M132" i="69"/>
  <c r="M131" i="69"/>
  <c r="M130" i="69"/>
  <c r="M129" i="69"/>
  <c r="M128" i="69"/>
  <c r="M127" i="69"/>
  <c r="M126" i="69"/>
  <c r="M125" i="69"/>
  <c r="M124" i="69"/>
  <c r="M123" i="69"/>
  <c r="M122" i="69"/>
  <c r="M121" i="69"/>
  <c r="M120" i="69"/>
  <c r="M119" i="69"/>
  <c r="M118" i="69"/>
  <c r="M117" i="69"/>
  <c r="M116" i="69"/>
  <c r="M115" i="69"/>
  <c r="M114" i="69"/>
  <c r="M113" i="69"/>
  <c r="M112" i="69"/>
  <c r="M111" i="69"/>
  <c r="M110" i="69"/>
  <c r="M109" i="69"/>
  <c r="M108" i="69"/>
  <c r="M107" i="69"/>
  <c r="M106" i="69"/>
  <c r="M105" i="69"/>
  <c r="M104" i="69"/>
  <c r="M103" i="69"/>
  <c r="M102" i="69"/>
  <c r="M101" i="69"/>
  <c r="M100" i="69"/>
  <c r="M99" i="69"/>
  <c r="M98" i="69"/>
  <c r="M97" i="69"/>
  <c r="M96" i="69"/>
  <c r="M95" i="69"/>
  <c r="M94" i="69"/>
  <c r="M93" i="69"/>
  <c r="M92" i="69"/>
  <c r="M91" i="69"/>
  <c r="M90" i="69"/>
  <c r="M89" i="69"/>
  <c r="M88" i="69"/>
  <c r="M87" i="69"/>
  <c r="M86" i="69"/>
  <c r="M85" i="69"/>
  <c r="M84" i="69"/>
  <c r="M83" i="69"/>
  <c r="M82" i="69"/>
  <c r="M81" i="69"/>
  <c r="M80" i="69"/>
  <c r="M79" i="69"/>
  <c r="M78" i="69"/>
  <c r="M77" i="69"/>
  <c r="M76" i="69"/>
  <c r="M75" i="69"/>
  <c r="M74" i="69"/>
  <c r="M73" i="69"/>
  <c r="M72" i="69"/>
  <c r="M71" i="69"/>
  <c r="M70" i="69"/>
  <c r="M69" i="69"/>
  <c r="M68" i="69"/>
  <c r="M67" i="69"/>
  <c r="M66" i="69"/>
  <c r="M65" i="69"/>
  <c r="M64" i="69"/>
  <c r="M63" i="69"/>
  <c r="M62" i="69"/>
  <c r="M61" i="69"/>
  <c r="M60" i="69"/>
  <c r="M59" i="69"/>
  <c r="M58" i="69"/>
  <c r="M57" i="69"/>
  <c r="M56" i="69"/>
  <c r="M55" i="69"/>
  <c r="M54" i="69"/>
  <c r="M53" i="69"/>
  <c r="M52" i="69"/>
  <c r="M51" i="69"/>
  <c r="M50" i="69"/>
  <c r="M49" i="69"/>
  <c r="M48" i="69"/>
  <c r="M47" i="69"/>
  <c r="M46" i="69"/>
  <c r="M45" i="69"/>
  <c r="M44" i="69"/>
  <c r="M43" i="69"/>
  <c r="M42" i="69"/>
  <c r="M41" i="69"/>
  <c r="M40" i="69"/>
  <c r="M39" i="69"/>
  <c r="M38" i="69"/>
  <c r="M37" i="69"/>
  <c r="M36" i="69"/>
  <c r="M35" i="69"/>
  <c r="M34" i="69"/>
  <c r="M33" i="69"/>
  <c r="M32" i="69"/>
  <c r="M31" i="69"/>
  <c r="M30" i="69"/>
  <c r="M29" i="69"/>
  <c r="M28" i="69"/>
  <c r="M27" i="69"/>
  <c r="M26" i="69"/>
  <c r="M25" i="69"/>
  <c r="M24" i="69"/>
  <c r="M23" i="69"/>
  <c r="M22" i="69"/>
  <c r="M21" i="69"/>
  <c r="M20" i="69"/>
  <c r="M19" i="69"/>
  <c r="M18" i="69"/>
  <c r="M17" i="69"/>
  <c r="M16" i="69"/>
  <c r="M15" i="69"/>
  <c r="M14" i="69"/>
  <c r="M13" i="69"/>
  <c r="M12" i="69"/>
  <c r="M11" i="69"/>
  <c r="M10" i="69"/>
  <c r="M9" i="69"/>
  <c r="M306" i="68"/>
  <c r="M305" i="68"/>
  <c r="M304" i="68"/>
  <c r="M303" i="68"/>
  <c r="M302" i="68"/>
  <c r="M301" i="68"/>
  <c r="M300" i="68"/>
  <c r="M299" i="68"/>
  <c r="M298" i="68"/>
  <c r="M297" i="68"/>
  <c r="M296" i="68"/>
  <c r="M295" i="68"/>
  <c r="M294" i="68"/>
  <c r="M293" i="68"/>
  <c r="M292" i="68"/>
  <c r="M291" i="68"/>
  <c r="M290" i="68"/>
  <c r="M289" i="68"/>
  <c r="M288" i="68"/>
  <c r="M287" i="68"/>
  <c r="M286" i="68"/>
  <c r="M285" i="68"/>
  <c r="M284" i="68"/>
  <c r="M283" i="68"/>
  <c r="M282" i="68"/>
  <c r="M281" i="68"/>
  <c r="M280" i="68"/>
  <c r="M279" i="68"/>
  <c r="M278" i="68"/>
  <c r="M277" i="68"/>
  <c r="M276" i="68"/>
  <c r="M275" i="68"/>
  <c r="M274" i="68"/>
  <c r="M273" i="68"/>
  <c r="M272" i="68"/>
  <c r="M271" i="68"/>
  <c r="M270" i="68"/>
  <c r="M269" i="68"/>
  <c r="M268" i="68"/>
  <c r="M267" i="68"/>
  <c r="M266" i="68"/>
  <c r="M265" i="68"/>
  <c r="M264" i="68"/>
  <c r="M263" i="68"/>
  <c r="M262" i="68"/>
  <c r="M261" i="68"/>
  <c r="M260" i="68"/>
  <c r="M259" i="68"/>
  <c r="M258" i="68"/>
  <c r="M257" i="68"/>
  <c r="M256" i="68"/>
  <c r="M255" i="68"/>
  <c r="M254" i="68"/>
  <c r="M253" i="68"/>
  <c r="M252" i="68"/>
  <c r="M251" i="68"/>
  <c r="M250" i="68"/>
  <c r="M249" i="68"/>
  <c r="M248" i="68"/>
  <c r="M247" i="68"/>
  <c r="M246" i="68"/>
  <c r="M245" i="68"/>
  <c r="M244" i="68"/>
  <c r="M243" i="68"/>
  <c r="M242" i="68"/>
  <c r="M241" i="68"/>
  <c r="M240" i="68"/>
  <c r="M239" i="68"/>
  <c r="M238" i="68"/>
  <c r="M237" i="68"/>
  <c r="M236" i="68"/>
  <c r="M235" i="68"/>
  <c r="M234" i="68"/>
  <c r="M233" i="68"/>
  <c r="M232" i="68"/>
  <c r="M231" i="68"/>
  <c r="M230" i="68"/>
  <c r="M229" i="68"/>
  <c r="M228" i="68"/>
  <c r="M227" i="68"/>
  <c r="M226" i="68"/>
  <c r="M225" i="68"/>
  <c r="M224" i="68"/>
  <c r="M223" i="68"/>
  <c r="M222" i="68"/>
  <c r="M221" i="68"/>
  <c r="M220" i="68"/>
  <c r="M219" i="68"/>
  <c r="M218" i="68"/>
  <c r="M217" i="68"/>
  <c r="M216" i="68"/>
  <c r="M215" i="68"/>
  <c r="M214" i="68"/>
  <c r="M213" i="68"/>
  <c r="M212" i="68"/>
  <c r="M211" i="68"/>
  <c r="M210" i="68"/>
  <c r="M209" i="68"/>
  <c r="M208" i="68"/>
  <c r="M207" i="68"/>
  <c r="M206" i="68"/>
  <c r="M205" i="68"/>
  <c r="M204" i="68"/>
  <c r="M203" i="68"/>
  <c r="M202" i="68"/>
  <c r="M201" i="68"/>
  <c r="M200" i="68"/>
  <c r="M199" i="68"/>
  <c r="M198" i="68"/>
  <c r="M197" i="68"/>
  <c r="M196" i="68"/>
  <c r="M195" i="68"/>
  <c r="M194" i="68"/>
  <c r="M193" i="68"/>
  <c r="M192" i="68"/>
  <c r="M191" i="68"/>
  <c r="M190" i="68"/>
  <c r="M189" i="68"/>
  <c r="M188" i="68"/>
  <c r="M187" i="68"/>
  <c r="M186" i="68"/>
  <c r="M185" i="68"/>
  <c r="M184" i="68"/>
  <c r="M183" i="68"/>
  <c r="M182" i="68"/>
  <c r="M181" i="68"/>
  <c r="M180" i="68"/>
  <c r="M179" i="68"/>
  <c r="M178" i="68"/>
  <c r="M177" i="68"/>
  <c r="M176" i="68"/>
  <c r="M175" i="68"/>
  <c r="M174" i="68"/>
  <c r="M173" i="68"/>
  <c r="M172" i="68"/>
  <c r="M171" i="68"/>
  <c r="M170" i="68"/>
  <c r="M169" i="68"/>
  <c r="M168" i="68"/>
  <c r="M167" i="68"/>
  <c r="M166" i="68"/>
  <c r="M165" i="68"/>
  <c r="M164" i="68"/>
  <c r="M163" i="68"/>
  <c r="M162" i="68"/>
  <c r="M161" i="68"/>
  <c r="M160" i="68"/>
  <c r="M159" i="68"/>
  <c r="M158" i="68"/>
  <c r="M157" i="68"/>
  <c r="M156" i="68"/>
  <c r="M155" i="68"/>
  <c r="M154" i="68"/>
  <c r="M153" i="68"/>
  <c r="M152" i="68"/>
  <c r="M151" i="68"/>
  <c r="M150" i="68"/>
  <c r="M149" i="68"/>
  <c r="M148" i="68"/>
  <c r="M147" i="68"/>
  <c r="M146" i="68"/>
  <c r="M145" i="68"/>
  <c r="M144" i="68"/>
  <c r="M143" i="68"/>
  <c r="M142" i="68"/>
  <c r="M141" i="68"/>
  <c r="M140" i="68"/>
  <c r="M139" i="68"/>
  <c r="M138" i="68"/>
  <c r="M137" i="68"/>
  <c r="M136" i="68"/>
  <c r="M135" i="68"/>
  <c r="M134" i="68"/>
  <c r="M133" i="68"/>
  <c r="M132" i="68"/>
  <c r="M131" i="68"/>
  <c r="M130" i="68"/>
  <c r="M129" i="68"/>
  <c r="M128" i="68"/>
  <c r="M127" i="68"/>
  <c r="M126" i="68"/>
  <c r="M125" i="68"/>
  <c r="M124" i="68"/>
  <c r="M123" i="68"/>
  <c r="M122" i="68"/>
  <c r="M121" i="68"/>
  <c r="M120" i="68"/>
  <c r="M119" i="68"/>
  <c r="M118" i="68"/>
  <c r="M117" i="68"/>
  <c r="M116" i="68"/>
  <c r="M115" i="68"/>
  <c r="M114" i="68"/>
  <c r="M113" i="68"/>
  <c r="M112" i="68"/>
  <c r="M111" i="68"/>
  <c r="M110" i="68"/>
  <c r="M109" i="68"/>
  <c r="M108" i="68"/>
  <c r="M107" i="68"/>
  <c r="M106" i="68"/>
  <c r="M105" i="68"/>
  <c r="M104" i="68"/>
  <c r="M103" i="68"/>
  <c r="M102" i="68"/>
  <c r="M101" i="68"/>
  <c r="M100" i="68"/>
  <c r="M99" i="68"/>
  <c r="M98" i="68"/>
  <c r="M97" i="68"/>
  <c r="M96" i="68"/>
  <c r="M95" i="68"/>
  <c r="M94" i="68"/>
  <c r="M93" i="68"/>
  <c r="M92" i="68"/>
  <c r="M91" i="68"/>
  <c r="M90" i="68"/>
  <c r="M89" i="68"/>
  <c r="M88" i="68"/>
  <c r="M87" i="68"/>
  <c r="M86" i="68"/>
  <c r="M85" i="68"/>
  <c r="M84" i="68"/>
  <c r="M83" i="68"/>
  <c r="M82" i="68"/>
  <c r="M81" i="68"/>
  <c r="M80" i="68"/>
  <c r="M79" i="68"/>
  <c r="M78" i="68"/>
  <c r="M77" i="68"/>
  <c r="M76" i="68"/>
  <c r="M75" i="68"/>
  <c r="M74" i="68"/>
  <c r="M73" i="68"/>
  <c r="M72" i="68"/>
  <c r="M71" i="68"/>
  <c r="M70" i="68"/>
  <c r="M69" i="68"/>
  <c r="M68" i="68"/>
  <c r="M67" i="68"/>
  <c r="M66" i="68"/>
  <c r="M65" i="68"/>
  <c r="M64" i="68"/>
  <c r="M63" i="68"/>
  <c r="M62" i="68"/>
  <c r="M61" i="68"/>
  <c r="M60" i="68"/>
  <c r="M59" i="68"/>
  <c r="M58" i="68"/>
  <c r="M57" i="68"/>
  <c r="M56" i="68"/>
  <c r="M55" i="68"/>
  <c r="M54" i="68"/>
  <c r="M53" i="68"/>
  <c r="M52" i="68"/>
  <c r="M51" i="68"/>
  <c r="M50" i="68"/>
  <c r="M49" i="68"/>
  <c r="M48" i="68"/>
  <c r="M47" i="68"/>
  <c r="M46" i="68"/>
  <c r="M45" i="68"/>
  <c r="M44" i="68"/>
  <c r="M43" i="68"/>
  <c r="M42" i="68"/>
  <c r="M41" i="68"/>
  <c r="M40" i="68"/>
  <c r="M39" i="68"/>
  <c r="M38" i="68"/>
  <c r="M37" i="68"/>
  <c r="M36" i="68"/>
  <c r="M35" i="68"/>
  <c r="M34" i="68"/>
  <c r="M33" i="68"/>
  <c r="M32" i="68"/>
  <c r="M31" i="68"/>
  <c r="M30" i="68"/>
  <c r="M29" i="68"/>
  <c r="M28" i="68"/>
  <c r="M27" i="68"/>
  <c r="M26" i="68"/>
  <c r="M25" i="68"/>
  <c r="M24" i="68"/>
  <c r="M23" i="68"/>
  <c r="M22" i="68"/>
  <c r="M21" i="68"/>
  <c r="M20" i="68"/>
  <c r="M19" i="68"/>
  <c r="M18" i="68"/>
  <c r="M17" i="68"/>
  <c r="M16" i="68"/>
  <c r="M15" i="68"/>
  <c r="M14" i="68"/>
  <c r="M13" i="68"/>
  <c r="M12" i="68"/>
  <c r="M11" i="68"/>
  <c r="M10" i="68"/>
  <c r="M9" i="68"/>
  <c r="M9" i="40"/>
  <c r="M10" i="40"/>
  <c r="M11" i="40"/>
  <c r="M12" i="40"/>
  <c r="M13" i="40"/>
  <c r="M14" i="40"/>
  <c r="M15" i="40"/>
  <c r="M16" i="40"/>
  <c r="M17" i="40"/>
  <c r="M18" i="40"/>
  <c r="M19" i="40"/>
  <c r="M20" i="40"/>
  <c r="M21" i="40"/>
  <c r="M22" i="40"/>
  <c r="M23" i="40"/>
  <c r="M24" i="40"/>
  <c r="M25" i="40"/>
  <c r="M26" i="40"/>
  <c r="M27" i="40"/>
  <c r="M28" i="40"/>
  <c r="M29" i="40"/>
  <c r="M30" i="40"/>
  <c r="M31" i="40"/>
  <c r="M32" i="40"/>
  <c r="M33" i="40"/>
  <c r="M34" i="40"/>
  <c r="M35" i="40"/>
  <c r="M36" i="40"/>
  <c r="M37" i="40"/>
  <c r="M38" i="40"/>
  <c r="M39" i="40"/>
  <c r="M40" i="40"/>
  <c r="M41" i="40"/>
  <c r="M42" i="40"/>
  <c r="M43" i="40"/>
  <c r="M44" i="40"/>
  <c r="M45" i="40"/>
  <c r="M46" i="40"/>
  <c r="M47" i="40"/>
  <c r="M48" i="40"/>
  <c r="M49" i="40"/>
  <c r="M50" i="40"/>
  <c r="M51" i="40"/>
  <c r="M52" i="40"/>
  <c r="M53" i="40"/>
  <c r="M54" i="40"/>
  <c r="M55" i="40"/>
  <c r="M56" i="40"/>
  <c r="M57" i="40"/>
  <c r="M58" i="40"/>
  <c r="M59" i="40"/>
  <c r="M60" i="40"/>
  <c r="M61" i="40"/>
  <c r="M62" i="40"/>
  <c r="M63" i="40"/>
  <c r="M64" i="40"/>
  <c r="M65" i="40"/>
  <c r="M66" i="40"/>
  <c r="M67" i="40"/>
  <c r="M68" i="40"/>
  <c r="M69" i="40"/>
  <c r="M70" i="40"/>
  <c r="M71" i="40"/>
  <c r="M72" i="40"/>
  <c r="M73" i="40"/>
  <c r="M74" i="40"/>
  <c r="M75" i="40"/>
  <c r="M76" i="40"/>
  <c r="M77" i="40"/>
  <c r="M78" i="40"/>
  <c r="M79" i="40"/>
  <c r="M80" i="40"/>
  <c r="M81" i="40"/>
  <c r="M82" i="40"/>
  <c r="M83" i="40"/>
  <c r="M84" i="40"/>
  <c r="M85" i="40"/>
  <c r="M86" i="40"/>
  <c r="M87" i="40"/>
  <c r="M88" i="40"/>
  <c r="M89" i="40"/>
  <c r="M90" i="40"/>
  <c r="M91" i="40"/>
  <c r="M92" i="40"/>
  <c r="M93" i="40"/>
  <c r="M94" i="40"/>
  <c r="M95" i="40"/>
  <c r="M96" i="40"/>
  <c r="M97" i="40"/>
  <c r="M98" i="40"/>
  <c r="M99" i="40"/>
  <c r="M100" i="40"/>
  <c r="M101" i="40"/>
  <c r="M102" i="40"/>
  <c r="M103" i="40"/>
  <c r="M104" i="40"/>
  <c r="M105" i="40"/>
  <c r="M106" i="40"/>
  <c r="M107" i="40"/>
  <c r="M108" i="40"/>
  <c r="M109" i="40"/>
  <c r="M110" i="40"/>
  <c r="M111" i="40"/>
  <c r="M112" i="40"/>
  <c r="M113" i="40"/>
  <c r="M114" i="40"/>
  <c r="M115" i="40"/>
  <c r="M116" i="40"/>
  <c r="M117" i="40"/>
  <c r="M118" i="40"/>
  <c r="M119" i="40"/>
  <c r="M120" i="40"/>
  <c r="M121" i="40"/>
  <c r="M122" i="40"/>
  <c r="M123" i="40"/>
  <c r="M124" i="40"/>
  <c r="M125" i="40"/>
  <c r="M126" i="40"/>
  <c r="M127" i="40"/>
  <c r="M128" i="40"/>
  <c r="M129" i="40"/>
  <c r="M130" i="40"/>
  <c r="M131" i="40"/>
  <c r="M132" i="40"/>
  <c r="M133" i="40"/>
  <c r="M134" i="40"/>
  <c r="M135" i="40"/>
  <c r="M136" i="40"/>
  <c r="M137" i="40"/>
  <c r="M138" i="40"/>
  <c r="M139" i="40"/>
  <c r="M140" i="40"/>
  <c r="M141" i="40"/>
  <c r="M142" i="40"/>
  <c r="M143" i="40"/>
  <c r="M144" i="40"/>
  <c r="M145" i="40"/>
  <c r="M146" i="40"/>
  <c r="M147" i="40"/>
  <c r="M148" i="40"/>
  <c r="M149" i="40"/>
  <c r="M150" i="40"/>
  <c r="M151" i="40"/>
  <c r="M152" i="40"/>
  <c r="M153" i="40"/>
  <c r="M154" i="40"/>
  <c r="M155" i="40"/>
  <c r="M156" i="40"/>
  <c r="M157" i="40"/>
  <c r="M158" i="40"/>
  <c r="M159" i="40"/>
  <c r="M160" i="40"/>
  <c r="M161" i="40"/>
  <c r="M162" i="40"/>
  <c r="M163" i="40"/>
  <c r="M164" i="40"/>
  <c r="M165" i="40"/>
  <c r="M166" i="40"/>
  <c r="M167" i="40"/>
  <c r="M168" i="40"/>
  <c r="M169" i="40"/>
  <c r="M170" i="40"/>
  <c r="M171" i="40"/>
  <c r="M172" i="40"/>
  <c r="M173" i="40"/>
  <c r="M174" i="40"/>
  <c r="M175" i="40"/>
  <c r="M176" i="40"/>
  <c r="M177" i="40"/>
  <c r="M178" i="40"/>
  <c r="M179" i="40"/>
  <c r="M180" i="40"/>
  <c r="M181" i="40"/>
  <c r="M182" i="40"/>
  <c r="M183" i="40"/>
  <c r="M184" i="40"/>
  <c r="M185" i="40"/>
  <c r="M186" i="40"/>
  <c r="M187" i="40"/>
  <c r="M188" i="40"/>
  <c r="M189" i="40"/>
  <c r="M190" i="40"/>
  <c r="M191" i="40"/>
  <c r="M192" i="40"/>
  <c r="M193" i="40"/>
  <c r="M194" i="40"/>
  <c r="M195" i="40"/>
  <c r="M196" i="40"/>
  <c r="M197" i="40"/>
  <c r="M198" i="40"/>
  <c r="M199" i="40"/>
  <c r="M200" i="40"/>
  <c r="M201" i="40"/>
  <c r="M202" i="40"/>
  <c r="M203" i="40"/>
  <c r="M204" i="40"/>
  <c r="M205" i="40"/>
  <c r="M206" i="40"/>
  <c r="M207" i="40"/>
  <c r="M208" i="40"/>
  <c r="M209" i="40"/>
  <c r="M210" i="40"/>
  <c r="M211" i="40"/>
  <c r="M212" i="40"/>
  <c r="M213" i="40"/>
  <c r="M214" i="40"/>
  <c r="M215" i="40"/>
  <c r="M216" i="40"/>
  <c r="M217" i="40"/>
  <c r="M218" i="40"/>
  <c r="M219" i="40"/>
  <c r="M220" i="40"/>
  <c r="M221" i="40"/>
  <c r="M222" i="40"/>
  <c r="M223" i="40"/>
  <c r="M224" i="40"/>
  <c r="M225" i="40"/>
  <c r="M226" i="40"/>
  <c r="M227" i="40"/>
  <c r="M228" i="40"/>
  <c r="M229" i="40"/>
  <c r="M230" i="40"/>
  <c r="M231" i="40"/>
  <c r="M232" i="40"/>
  <c r="M233" i="40"/>
  <c r="M234" i="40"/>
  <c r="M235" i="40"/>
  <c r="M236" i="40"/>
  <c r="M237" i="40"/>
  <c r="M238" i="40"/>
  <c r="M239" i="40"/>
  <c r="M240" i="40"/>
  <c r="M241" i="40"/>
  <c r="M242" i="40"/>
  <c r="M243" i="40"/>
  <c r="M244" i="40"/>
  <c r="M245" i="40"/>
  <c r="M246" i="40"/>
  <c r="M247" i="40"/>
  <c r="M248" i="40"/>
  <c r="M249" i="40"/>
  <c r="M250" i="40"/>
  <c r="M251" i="40"/>
  <c r="M252" i="40"/>
  <c r="M253" i="40"/>
  <c r="M254" i="40"/>
  <c r="M255" i="40"/>
  <c r="M256" i="40"/>
  <c r="M257" i="40"/>
  <c r="M258" i="40"/>
  <c r="M259" i="40"/>
  <c r="M260" i="40"/>
  <c r="M261" i="40"/>
  <c r="M262" i="40"/>
  <c r="M263" i="40"/>
  <c r="M264" i="40"/>
  <c r="M265" i="40"/>
  <c r="M266" i="40"/>
  <c r="M267" i="40"/>
  <c r="M268" i="40"/>
  <c r="M269" i="40"/>
  <c r="M270" i="40"/>
  <c r="M271" i="40"/>
  <c r="M272" i="40"/>
  <c r="M273" i="40"/>
  <c r="M274" i="40"/>
  <c r="M275" i="40"/>
  <c r="M276" i="40"/>
  <c r="M277" i="40"/>
  <c r="M278" i="40"/>
  <c r="M279" i="40"/>
  <c r="M280" i="40"/>
  <c r="M281" i="40"/>
  <c r="M282" i="40"/>
  <c r="M283" i="40"/>
  <c r="M284" i="40"/>
  <c r="M285" i="40"/>
  <c r="M286" i="40"/>
  <c r="M287" i="40"/>
  <c r="M288" i="40"/>
  <c r="M289" i="40"/>
  <c r="M290" i="40"/>
  <c r="M291" i="40"/>
  <c r="M292" i="40"/>
  <c r="M293" i="40"/>
  <c r="M294" i="40"/>
  <c r="M295" i="40"/>
  <c r="M296" i="40"/>
  <c r="M297" i="40"/>
  <c r="M298" i="40"/>
  <c r="M299" i="40"/>
  <c r="M300" i="40"/>
  <c r="M301" i="40"/>
  <c r="M302" i="40"/>
  <c r="M303" i="40"/>
  <c r="M304" i="40"/>
  <c r="M305" i="40"/>
  <c r="M306" i="40"/>
</calcChain>
</file>

<file path=xl/sharedStrings.xml><?xml version="1.0" encoding="utf-8"?>
<sst xmlns="http://schemas.openxmlformats.org/spreadsheetml/2006/main" count="938" uniqueCount="348">
  <si>
    <t>Miami</t>
  </si>
  <si>
    <t>Los Angeles</t>
  </si>
  <si>
    <t>San Diego</t>
  </si>
  <si>
    <t>New York City</t>
  </si>
  <si>
    <t>USAWest</t>
  </si>
  <si>
    <t>Detroit</t>
  </si>
  <si>
    <t>Chicago</t>
  </si>
  <si>
    <t>Atlanta</t>
  </si>
  <si>
    <t>Boston</t>
  </si>
  <si>
    <t>Seattle</t>
  </si>
  <si>
    <t>Portland</t>
  </si>
  <si>
    <t>Level 2 Lists</t>
  </si>
  <si>
    <t>Level 1</t>
  </si>
  <si>
    <t>Level 3 Lists</t>
  </si>
  <si>
    <t>Orlando</t>
  </si>
  <si>
    <t>rule</t>
  </si>
  <si>
    <t>huj</t>
  </si>
  <si>
    <t>l</t>
  </si>
  <si>
    <t>TransactionAmount</t>
  </si>
  <si>
    <t>AuthorizationDate</t>
  </si>
  <si>
    <t>TransactionDate</t>
  </si>
  <si>
    <t>Currency</t>
  </si>
  <si>
    <t>PurchaseIdentifier</t>
  </si>
  <si>
    <t>DisputeCategory</t>
  </si>
  <si>
    <t>DisputeCondition</t>
  </si>
  <si>
    <t>o</t>
  </si>
  <si>
    <t>i</t>
  </si>
  <si>
    <t>PersonalAccountNumberBin</t>
  </si>
  <si>
    <t>AuthorizeDateTime</t>
  </si>
  <si>
    <t>TransactionCurrencyCode</t>
  </si>
  <si>
    <t>Contains</t>
  </si>
  <si>
    <t>EqualTo</t>
  </si>
  <si>
    <t>GreaterThan</t>
  </si>
  <si>
    <t>GreaterThanOrEquals</t>
  </si>
  <si>
    <t>Is Blank</t>
  </si>
  <si>
    <t>LessThan</t>
  </si>
  <si>
    <t>LessThanOrEquals</t>
  </si>
  <si>
    <t>NotEqualTo</t>
  </si>
  <si>
    <t>StartsWith</t>
  </si>
  <si>
    <t>PersonalAccountNumberBinContains</t>
  </si>
  <si>
    <t>PersonalAccountNumberBinLessThanOrEquals</t>
  </si>
  <si>
    <t>TransactionDateEqualTo</t>
  </si>
  <si>
    <t>TransactionDateGreaterThan</t>
  </si>
  <si>
    <t>PersonalAccountNumberBinEqualTo</t>
  </si>
  <si>
    <t>DisputeConditionCode</t>
  </si>
  <si>
    <t>USD</t>
  </si>
  <si>
    <t>CAD</t>
  </si>
  <si>
    <t>GBP</t>
  </si>
  <si>
    <t>EUR</t>
  </si>
  <si>
    <t>AUD</t>
  </si>
  <si>
    <t>PLN</t>
  </si>
  <si>
    <t>NOK</t>
  </si>
  <si>
    <t>SEK</t>
  </si>
  <si>
    <t>CHF</t>
  </si>
  <si>
    <t>ILS</t>
  </si>
  <si>
    <t>CZK</t>
  </si>
  <si>
    <t>THB</t>
  </si>
  <si>
    <t>AED</t>
  </si>
  <si>
    <t>DisputeCategoryContains</t>
  </si>
  <si>
    <t>10-Fraud</t>
  </si>
  <si>
    <t>11-Authorization</t>
  </si>
  <si>
    <t>12-Processing Error</t>
  </si>
  <si>
    <t>13-Consumer</t>
  </si>
  <si>
    <t>Value</t>
  </si>
  <si>
    <t>Operator</t>
  </si>
  <si>
    <t>Rule</t>
  </si>
  <si>
    <t>TransactionCurrencyCodeEqualTo</t>
  </si>
  <si>
    <t>TransactionCurrencyCodeGreaterThan</t>
  </si>
  <si>
    <t>TransactionCurrencyCodeGreaterThanOrEquals</t>
  </si>
  <si>
    <t>TransactionCurrencyCodeIsBlank</t>
  </si>
  <si>
    <t>IsBlank</t>
  </si>
  <si>
    <t>TransactionCurrencyCodeLessThan</t>
  </si>
  <si>
    <t>TransactionCurrencyCodeLessThanOrEquals</t>
  </si>
  <si>
    <t>TransactionCurrencyCodeNotEqualTo</t>
  </si>
  <si>
    <t>TransactionCurrencyCodeStartsWith</t>
  </si>
  <si>
    <t>DisputeCategoryEqualTo</t>
  </si>
  <si>
    <t>DisputeCategoryGreaterThan</t>
  </si>
  <si>
    <t>DisputeCategoryGreaterThanOrEquals</t>
  </si>
  <si>
    <t>DisputeCategoryIsBlank</t>
  </si>
  <si>
    <t>DisputeCategoryLessThan</t>
  </si>
  <si>
    <t>DisputeCategoryLessThanOrEquals</t>
  </si>
  <si>
    <t>DisputeCategoryNotEqualTo</t>
  </si>
  <si>
    <t>DisputeCategoryStartsWith</t>
  </si>
  <si>
    <t>AND</t>
  </si>
  <si>
    <t>BIN</t>
  </si>
  <si>
    <t>CAID</t>
  </si>
  <si>
    <t>Batch BIN CAID</t>
  </si>
  <si>
    <t>Rule One</t>
  </si>
  <si>
    <t>Rule Two</t>
  </si>
  <si>
    <t>Rule Three</t>
  </si>
  <si>
    <t>Rule Four</t>
  </si>
  <si>
    <t>Rule Five</t>
  </si>
  <si>
    <t>Rule Six</t>
  </si>
  <si>
    <t>Rule Seven</t>
  </si>
  <si>
    <t>Rule Eight</t>
  </si>
  <si>
    <t>Rule Nine</t>
  </si>
  <si>
    <t>Rule Ten</t>
  </si>
  <si>
    <t>AFN</t>
  </si>
  <si>
    <t>ALL</t>
  </si>
  <si>
    <t>AMD</t>
  </si>
  <si>
    <t>ANG</t>
  </si>
  <si>
    <t>AOA</t>
  </si>
  <si>
    <t>ARS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</si>
  <si>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</si>
  <si>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</si>
  <si>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</si>
  <si>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</si>
  <si>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</si>
  <si>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</si>
  <si>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</si>
  <si>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</si>
  <si>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</si>
  <si>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</si>
  <si>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</si>
  <si>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BOV</t>
  </si>
  <si>
    <t>BRL</t>
  </si>
  <si>
    <t>BSD</t>
  </si>
  <si>
    <t>BTN</t>
  </si>
  <si>
    <t>BWP</t>
  </si>
  <si>
    <t>BYN</t>
  </si>
  <si>
    <t>BZD</t>
  </si>
  <si>
    <t>CDF</t>
  </si>
  <si>
    <t>CHE</t>
  </si>
  <si>
    <t>CHW</t>
  </si>
  <si>
    <t>CLF</t>
  </si>
  <si>
    <t>CLP</t>
  </si>
  <si>
    <t>CNY</t>
  </si>
  <si>
    <t>COP</t>
  </si>
  <si>
    <t>COU</t>
  </si>
  <si>
    <t>CRC</t>
  </si>
  <si>
    <t>CUC</t>
  </si>
  <si>
    <t>CUP</t>
  </si>
  <si>
    <t>CVE</t>
  </si>
  <si>
    <t>DJF</t>
  </si>
  <si>
    <t>DKK</t>
  </si>
  <si>
    <t>DOP</t>
  </si>
  <si>
    <t>DZD</t>
  </si>
  <si>
    <t>EGP</t>
  </si>
  <si>
    <t>ERN</t>
  </si>
  <si>
    <t>ETB</t>
  </si>
  <si>
    <t>FJD</t>
  </si>
  <si>
    <t>FKP</t>
  </si>
  <si>
    <t>GEL</t>
  </si>
  <si>
    <t>GHS</t>
  </si>
  <si>
    <t>GIP</t>
  </si>
  <si>
    <t>GMD</t>
  </si>
  <si>
    <t>GNF</t>
  </si>
  <si>
    <t>GTQ</t>
  </si>
  <si>
    <t>GYD</t>
  </si>
  <si>
    <t>HKD</t>
  </si>
  <si>
    <t>HNL</t>
  </si>
  <si>
    <t>HRK</t>
  </si>
  <si>
    <t>HTG</t>
  </si>
  <si>
    <t>HUF</t>
  </si>
  <si>
    <t>IDR</t>
  </si>
  <si>
    <t>INR</t>
  </si>
  <si>
    <t>IQD</t>
  </si>
  <si>
    <t>IRR</t>
  </si>
  <si>
    <t>ISK</t>
  </si>
  <si>
    <t>JMD</t>
  </si>
  <si>
    <t>JOD</t>
  </si>
  <si>
    <t>JPY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</si>
  <si>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</si>
  <si>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</si>
  <si>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</si>
  <si>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</si>
  <si>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</si>
  <si>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</si>
  <si>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</si>
  <si>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</si>
  <si>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</si>
  <si>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</si>
  <si>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</si>
  <si>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</si>
  <si>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</si>
  <si>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</si>
  <si>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LYD</t>
  </si>
  <si>
    <t>MAD</t>
  </si>
  <si>
    <t>MDL</t>
  </si>
  <si>
    <t>MGA</t>
  </si>
  <si>
    <t>MKD</t>
  </si>
  <si>
    <t>MMK</t>
  </si>
  <si>
    <t>MNT</t>
  </si>
  <si>
    <t>MOP</t>
  </si>
  <si>
    <t>MRU [12]</t>
  </si>
  <si>
    <t>MUR</t>
  </si>
  <si>
    <t>MVR</t>
  </si>
  <si>
    <t>MWK</t>
  </si>
  <si>
    <t>MXN</t>
  </si>
  <si>
    <t>MXV</t>
  </si>
  <si>
    <t>MYR</t>
  </si>
  <si>
    <t>MZN</t>
  </si>
  <si>
    <t>NAD</t>
  </si>
  <si>
    <t>NGN</t>
  </si>
  <si>
    <t>NIO</t>
  </si>
  <si>
    <t>NPR</t>
  </si>
  <si>
    <t>NZD</t>
  </si>
  <si>
    <t>OMR</t>
  </si>
  <si>
    <t>PAB</t>
  </si>
  <si>
    <t>PEN</t>
  </si>
  <si>
    <t>PGK</t>
  </si>
  <si>
    <t>PHP</t>
  </si>
  <si>
    <t>PKR</t>
  </si>
  <si>
    <t>PYG</t>
  </si>
  <si>
    <t>QAR</t>
  </si>
  <si>
    <t>RON</t>
  </si>
  <si>
    <t>RSD</t>
  </si>
  <si>
    <t>RUB</t>
  </si>
  <si>
    <t>RWF</t>
  </si>
  <si>
    <t>SAR</t>
  </si>
  <si>
    <t>SBD</t>
  </si>
  <si>
    <t>SCR</t>
  </si>
  <si>
    <t>SDG</t>
  </si>
  <si>
    <t>SGD</t>
  </si>
  <si>
    <t>SHP</t>
  </si>
  <si>
    <t>SLL</t>
  </si>
  <si>
    <t>SOS</t>
  </si>
  <si>
    <t>SRD</t>
  </si>
  <si>
    <t>SSP</t>
  </si>
  <si>
    <t>STN [14]</t>
  </si>
  <si>
    <t>SVC</t>
  </si>
  <si>
    <t>SYP</t>
  </si>
  <si>
    <t>SZL</t>
  </si>
  <si>
    <t>TJS</t>
  </si>
  <si>
    <t>TMT</t>
  </si>
  <si>
    <t>TND</t>
  </si>
  <si>
    <t>TOP</t>
  </si>
  <si>
    <t>TRY</t>
  </si>
  <si>
    <t>TTD</t>
  </si>
  <si>
    <t>TWD</t>
  </si>
  <si>
    <t>TZS</t>
  </si>
  <si>
    <t>UAH</t>
  </si>
  <si>
    <t>UGX</t>
  </si>
  <si>
    <t>USN</t>
  </si>
  <si>
    <t>UYI</t>
  </si>
  <si>
    <t>UYU</t>
  </si>
  <si>
    <t>UYW</t>
  </si>
  <si>
    <t>UZS</t>
  </si>
  <si>
    <t>VES</t>
  </si>
  <si>
    <t>VND</t>
  </si>
  <si>
    <t>VUV</t>
  </si>
  <si>
    <t>WST</t>
  </si>
  <si>
    <t>XAF</t>
  </si>
  <si>
    <t>XAG</t>
  </si>
  <si>
    <t>XAU</t>
  </si>
  <si>
    <t>XBA</t>
  </si>
  <si>
    <t>XBB</t>
  </si>
  <si>
    <t>XBC</t>
  </si>
  <si>
    <t>XBD</t>
  </si>
  <si>
    <t>XCD</t>
  </si>
  <si>
    <t>XDR</t>
  </si>
  <si>
    <t>XOF</t>
  </si>
  <si>
    <t>XPD</t>
  </si>
  <si>
    <t>XPF</t>
  </si>
  <si>
    <t>XPT</t>
  </si>
  <si>
    <t>XSU</t>
  </si>
  <si>
    <t>XTS</t>
  </si>
  <si>
    <t>XUA</t>
  </si>
  <si>
    <t>XXX</t>
  </si>
  <si>
    <t>YER</t>
  </si>
  <si>
    <t>ZAR</t>
  </si>
  <si>
    <t>ZMW</t>
  </si>
  <si>
    <t>ZWL</t>
  </si>
  <si>
    <t xml:space="preserve">Reseller: </t>
  </si>
  <si>
    <t xml:space="preserve">Client/Merchant: </t>
  </si>
  <si>
    <t xml:space="preserve">Effective Date (10 days): </t>
  </si>
  <si>
    <t xml:space="preserve">Rule Type:  </t>
  </si>
  <si>
    <t xml:space="preserve">Rule Name:  </t>
  </si>
  <si>
    <t>BIN | CAID</t>
  </si>
  <si>
    <t>Enter Reseller Name</t>
  </si>
  <si>
    <t xml:space="preserve">Enter Merchant Name associated to the Rules </t>
  </si>
  <si>
    <t>Include BIN and CAID information associated to the rules. BIN and CAID information can be found by contacting your Processor.</t>
  </si>
  <si>
    <t>Provide an activation date. Be advised that it will take 10 business days to configure rules. Please provide Support with a date that is 10 days after your submission of this form</t>
  </si>
  <si>
    <t>????</t>
  </si>
  <si>
    <t>What would you like to call this rule</t>
  </si>
  <si>
    <t>Rule Elements</t>
  </si>
  <si>
    <t>Definition</t>
  </si>
  <si>
    <t>Issuer BIN</t>
  </si>
  <si>
    <t>Transaction Date</t>
  </si>
  <si>
    <t>Authorization Date/Time</t>
  </si>
  <si>
    <t>Transaction Amount</t>
  </si>
  <si>
    <t>Transaction Currencey Code</t>
  </si>
  <si>
    <t>Purchase Identifier</t>
  </si>
  <si>
    <t xml:space="preserve">Dispute Category </t>
  </si>
  <si>
    <t>Dispute Condition Code</t>
  </si>
  <si>
    <t>Unique order identifier assigned to every transaction a seller submits. Transmitted to the issuer
by the acquirer to identify the customer order for automated resolution.</t>
  </si>
  <si>
    <t>Visa-defined category code the dispute would be classified as (eg, 10.X Fraud, 11.X
Authorization, 12.X Processing Errors, 13.X Consumer Disputes)</t>
  </si>
  <si>
    <t>Visa-defined condition code the dispute would be classified as (eg,, 10.4 - Other Fraud-
Card-Absent environment, 13.3 – Not as Described or Defective Merchandise/Services)</t>
  </si>
  <si>
    <t>DECLINE | ACCEPT liability statements for Sellers</t>
  </si>
  <si>
    <t>A. IF Purchase BIN is (123 OR 456 OR 789) then DECLINE</t>
  </si>
  <si>
    <t>B. IF Transaction Auth Date is GREATER than 1 Dec 2019, then DECLINE</t>
  </si>
  <si>
    <t>C. If (Transaction Amount is GREATER THAN 10.00 and Currency Code IS USD) then DECLINE</t>
  </si>
  <si>
    <t>Example of Rules:</t>
  </si>
  <si>
    <t>Decline</t>
  </si>
  <si>
    <t>Accept</t>
  </si>
  <si>
    <t>RDR will Accept request based on Auto-Decision Rules. No Chargeback will be initiated.</t>
  </si>
  <si>
    <t>RDR will Decline request based on Auto-Decision Rules. A chargeback will be initiated</t>
  </si>
  <si>
    <t>10.1 - EMV Liability Shift Counterfeit Fraud</t>
  </si>
  <si>
    <t>10.2 - EMV Liability Shift Non-Counterfeit Fraud</t>
  </si>
  <si>
    <t>10.3 - Other Fraud-Card Present Environment</t>
  </si>
  <si>
    <t>10.4 - Other Fraud-Card Absent Environment</t>
  </si>
  <si>
    <t>10.5 - Visa Fraud Monitoring Program</t>
  </si>
  <si>
    <t>11.1 - Card Recovery Bulletin</t>
  </si>
  <si>
    <t>11.2 - Declined Authorization</t>
  </si>
  <si>
    <t>11.3 - No Authorization</t>
  </si>
  <si>
    <t>12.1 - Late Presentment</t>
  </si>
  <si>
    <t>12.2 - Incorrect Transaction Code</t>
  </si>
  <si>
    <t>12.3 - Incorrect Currency</t>
  </si>
  <si>
    <t>12.4 - Incorrect Account Number</t>
  </si>
  <si>
    <t>12.5 - Incorrect Amount</t>
  </si>
  <si>
    <t>12.6 - Duplicate Processing/Paid by Other Means</t>
  </si>
  <si>
    <t>12.6.1 - Duplicate Processing</t>
  </si>
  <si>
    <t>12.6.2 - Paid by Other Means</t>
  </si>
  <si>
    <t>12.7 - Invalid Data</t>
  </si>
  <si>
    <t>13.1 - Merchandise/Services Not Received</t>
  </si>
  <si>
    <t>13.2 - Cancelled Recurring</t>
  </si>
  <si>
    <t>13.3 - Not as Described or Defective Merchandise/Services</t>
  </si>
  <si>
    <t>13.4 - Counterfeit Merchandise</t>
  </si>
  <si>
    <t>13.5 - Misrepresentation</t>
  </si>
  <si>
    <t>13.6 - Credit Not Processed</t>
  </si>
  <si>
    <t>13.7 - Cancelled Merchandise/Services</t>
  </si>
  <si>
    <t>13.8 - Original Credit Transaction Not Accepted</t>
  </si>
  <si>
    <t>13.9 - Non-Receipt of Cash or Load Transaction Value</t>
  </si>
  <si>
    <t>DisputeConditonCode</t>
  </si>
  <si>
    <t>IsIn</t>
  </si>
  <si>
    <t>IsNotIn</t>
  </si>
  <si>
    <t xml:space="preserve">Operator </t>
  </si>
  <si>
    <t>Instructions</t>
  </si>
  <si>
    <t>Welcome to RDR Rules…...</t>
  </si>
  <si>
    <t>Attribute</t>
  </si>
  <si>
    <t>If you would like to use this rule for multiple BIN and CAIDs, please list them below</t>
  </si>
  <si>
    <t>Please double click on the image below to open up the Enrollment Form.</t>
  </si>
  <si>
    <t>Client Name</t>
  </si>
  <si>
    <t>DBA</t>
  </si>
  <si>
    <t>Rule Name</t>
  </si>
  <si>
    <t>TransactionDateIsIn</t>
  </si>
  <si>
    <t>Last 30 days</t>
  </si>
  <si>
    <t>Last 60 days</t>
  </si>
  <si>
    <t>Last 90 days</t>
  </si>
  <si>
    <t>MCC</t>
  </si>
  <si>
    <t>Merchant Name</t>
  </si>
  <si>
    <t>Merchant ID</t>
  </si>
  <si>
    <t>ARN</t>
  </si>
  <si>
    <t>Client ID</t>
  </si>
  <si>
    <t>Partner ID</t>
  </si>
  <si>
    <t>Partner Name</t>
  </si>
  <si>
    <t>Last 120 Days</t>
  </si>
  <si>
    <t>Paysafe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</si>
</sst>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1"/>
      <color indexed="12"/>
      <name val="Calibri"/>
      <family val="2"/>
      <scheme val="minor"/>
    </font>
    <font>
      <b/>
      <sz val="1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2" borderId="0"/>
    <xf numFmtId="0" fontId="3" fillId="0" borderId="0" applyNumberFormat="0" applyFill="0" applyBorder="0" applyAlignment="0" applyProtection="0">
      <alignment horizontal="left" indent="1"/>
    </xf>
  </cellStyleXfs>
  <cellXfs count="118">
    <xf numFmtId="0" fontId="0" fillId="0" borderId="0" xfId="0"/>
    <xf numFmtId="0" fontId="0" fillId="0" borderId="0" xfId="0"/>
    <xf numFmtId="0" fontId="2" fillId="0" borderId="0" xfId="0" applyFont="1"/>
    <xf numFmtId="0" fontId="0" fillId="0" borderId="0" xfId="0"/>
    <xf numFmtId="0" fontId="4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4" borderId="0" xfId="0" applyFont="1" applyFill="1"/>
    <xf numFmtId="0" fontId="0" fillId="4" borderId="0" xfId="0" applyFill="1"/>
    <xf numFmtId="0" fontId="4" fillId="3" borderId="0" xfId="0" applyFont="1" applyFill="1"/>
    <xf numFmtId="0" fontId="4" fillId="5" borderId="0" xfId="0" applyFont="1" applyFill="1"/>
    <xf numFmtId="0" fontId="0" fillId="5" borderId="0" xfId="0" applyFill="1"/>
    <xf numFmtId="0" fontId="0" fillId="0" borderId="0" xfId="0" applyBorder="1"/>
    <xf numFmtId="0" fontId="0" fillId="0" borderId="3" xfId="0" applyFill="1" applyBorder="1"/>
    <xf numFmtId="0" fontId="0" fillId="0" borderId="2" xfId="0" applyFill="1" applyBorder="1"/>
    <xf numFmtId="0" fontId="0" fillId="0" borderId="4" xfId="0" applyBorder="1"/>
    <xf numFmtId="0" fontId="0" fillId="0" borderId="4" xfId="0" applyFill="1" applyBorder="1"/>
    <xf numFmtId="0" fontId="0" fillId="0" borderId="1" xfId="0" applyFill="1" applyBorder="1"/>
    <xf numFmtId="0" fontId="2" fillId="0" borderId="4" xfId="0" applyFont="1" applyBorder="1"/>
    <xf numFmtId="0" fontId="0" fillId="0" borderId="5" xfId="0" applyFill="1" applyBorder="1"/>
    <xf numFmtId="0" fontId="0" fillId="0" borderId="6" xfId="0" applyFill="1" applyBorder="1"/>
    <xf numFmtId="0" fontId="1" fillId="0" borderId="3" xfId="0" applyFont="1" applyBorder="1"/>
    <xf numFmtId="0" fontId="1" fillId="0" borderId="1" xfId="0" applyFont="1" applyFill="1" applyBorder="1"/>
    <xf numFmtId="0" fontId="1" fillId="0" borderId="4" xfId="0" applyFont="1" applyFill="1" applyBorder="1"/>
    <xf numFmtId="0" fontId="1" fillId="0" borderId="3" xfId="0" applyFont="1" applyFill="1" applyBorder="1"/>
    <xf numFmtId="0" fontId="1" fillId="0" borderId="5" xfId="0" applyFont="1" applyFill="1" applyBorder="1"/>
    <xf numFmtId="0" fontId="1" fillId="0" borderId="2" xfId="0" applyFont="1" applyFill="1" applyBorder="1"/>
    <xf numFmtId="0" fontId="1" fillId="0" borderId="4" xfId="0" applyFont="1" applyBorder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Border="1" applyAlignment="1"/>
    <xf numFmtId="0" fontId="2" fillId="6" borderId="0" xfId="0" applyFont="1" applyFill="1"/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0" borderId="15" xfId="0" applyFont="1" applyFill="1" applyBorder="1" applyAlignment="1"/>
    <xf numFmtId="0" fontId="0" fillId="0" borderId="16" xfId="0" applyBorder="1" applyAlignment="1"/>
    <xf numFmtId="0" fontId="1" fillId="0" borderId="16" xfId="0" applyFont="1" applyBorder="1" applyAlignment="1">
      <alignment wrapText="1"/>
    </xf>
    <xf numFmtId="0" fontId="2" fillId="0" borderId="17" xfId="0" applyFont="1" applyFill="1" applyBorder="1" applyAlignment="1"/>
    <xf numFmtId="0" fontId="1" fillId="0" borderId="18" xfId="0" applyFont="1" applyBorder="1" applyAlignment="1">
      <alignment wrapText="1"/>
    </xf>
    <xf numFmtId="0" fontId="2" fillId="0" borderId="13" xfId="0" applyFont="1" applyBorder="1" applyAlignment="1"/>
    <xf numFmtId="0" fontId="1" fillId="0" borderId="14" xfId="0" applyFont="1" applyBorder="1" applyAlignment="1"/>
    <xf numFmtId="0" fontId="2" fillId="0" borderId="15" xfId="0" applyFont="1" applyBorder="1" applyAlignment="1"/>
    <xf numFmtId="0" fontId="1" fillId="0" borderId="16" xfId="0" applyFont="1" applyBorder="1" applyAlignment="1"/>
    <xf numFmtId="0" fontId="1" fillId="0" borderId="16" xfId="0" applyFont="1" applyFill="1" applyBorder="1" applyAlignment="1"/>
    <xf numFmtId="0" fontId="2" fillId="0" borderId="17" xfId="0" applyFont="1" applyBorder="1" applyAlignment="1"/>
    <xf numFmtId="0" fontId="1" fillId="0" borderId="18" xfId="0" applyFont="1" applyFill="1" applyBorder="1" applyAlignment="1"/>
    <xf numFmtId="0" fontId="2" fillId="0" borderId="19" xfId="0" applyFont="1" applyFill="1" applyBorder="1" applyAlignment="1"/>
    <xf numFmtId="0" fontId="0" fillId="0" borderId="20" xfId="0" applyBorder="1" applyAlignment="1"/>
    <xf numFmtId="0" fontId="2" fillId="3" borderId="21" xfId="0" applyFont="1" applyFill="1" applyBorder="1" applyAlignment="1"/>
    <xf numFmtId="0" fontId="2" fillId="3" borderId="22" xfId="0" applyFont="1" applyFill="1" applyBorder="1" applyAlignment="1"/>
    <xf numFmtId="0" fontId="0" fillId="0" borderId="0" xfId="0" applyAlignment="1">
      <alignment horizontal="left"/>
    </xf>
    <xf numFmtId="0" fontId="0" fillId="0" borderId="23" xfId="0" applyBorder="1" applyAlignment="1"/>
    <xf numFmtId="0" fontId="0" fillId="0" borderId="24" xfId="0" applyBorder="1" applyAlignment="1"/>
    <xf numFmtId="0" fontId="0" fillId="3" borderId="22" xfId="0" applyFill="1" applyBorder="1" applyAlignment="1"/>
    <xf numFmtId="0" fontId="1" fillId="0" borderId="18" xfId="0" applyFont="1" applyBorder="1" applyAlignment="1"/>
    <xf numFmtId="0" fontId="5" fillId="0" borderId="1" xfId="0" applyFont="1" applyBorder="1"/>
    <xf numFmtId="0" fontId="5" fillId="0" borderId="3" xfId="0" applyFont="1" applyBorder="1"/>
    <xf numFmtId="0" fontId="5" fillId="0" borderId="2" xfId="0" applyFont="1" applyBorder="1"/>
    <xf numFmtId="0" fontId="0" fillId="0" borderId="1" xfId="0" applyFont="1" applyFill="1" applyBorder="1"/>
    <xf numFmtId="0" fontId="0" fillId="0" borderId="3" xfId="0" applyFont="1" applyFill="1" applyBorder="1"/>
    <xf numFmtId="0" fontId="1" fillId="0" borderId="0" xfId="0" applyFont="1" applyFill="1" applyBorder="1"/>
    <xf numFmtId="0" fontId="2" fillId="0" borderId="0" xfId="0" applyFont="1" applyFill="1" applyBorder="1" applyAlignment="1"/>
    <xf numFmtId="0" fontId="1" fillId="0" borderId="0" xfId="0" applyFont="1" applyBorder="1" applyAlignment="1">
      <alignment wrapText="1"/>
    </xf>
    <xf numFmtId="0" fontId="1" fillId="0" borderId="0" xfId="0" applyFont="1" applyAlignment="1"/>
    <xf numFmtId="0" fontId="2" fillId="3" borderId="13" xfId="0" applyFont="1" applyFill="1" applyBorder="1" applyAlignment="1"/>
    <xf numFmtId="0" fontId="1" fillId="3" borderId="14" xfId="0" applyFont="1" applyFill="1" applyBorder="1" applyAlignment="1">
      <alignment wrapText="1"/>
    </xf>
    <xf numFmtId="0" fontId="2" fillId="3" borderId="14" xfId="0" applyFont="1" applyFill="1" applyBorder="1" applyAlignment="1">
      <alignment wrapText="1"/>
    </xf>
    <xf numFmtId="0" fontId="0" fillId="0" borderId="17" xfId="0" applyBorder="1" applyAlignment="1"/>
    <xf numFmtId="0" fontId="0" fillId="0" borderId="18" xfId="0" applyBorder="1" applyAlignment="1"/>
    <xf numFmtId="0" fontId="0" fillId="0" borderId="25" xfId="0" applyBorder="1"/>
    <xf numFmtId="0" fontId="2" fillId="0" borderId="7" xfId="0" applyFont="1" applyBorder="1" applyProtection="1">
      <protection locked="0"/>
    </xf>
    <xf numFmtId="0" fontId="2" fillId="0" borderId="8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0" fillId="0" borderId="4" xfId="0" applyBorder="1" applyProtection="1">
      <protection locked="0"/>
    </xf>
    <xf numFmtId="0" fontId="1" fillId="0" borderId="4" xfId="0" applyFont="1" applyBorder="1" applyProtection="1">
      <protection locked="0"/>
    </xf>
    <xf numFmtId="0" fontId="0" fillId="0" borderId="0" xfId="0" applyBorder="1" applyProtection="1">
      <protection locked="0"/>
    </xf>
    <xf numFmtId="0" fontId="1" fillId="0" borderId="0" xfId="0" applyFont="1" applyBorder="1" applyProtection="1">
      <protection locked="0"/>
    </xf>
    <xf numFmtId="0" fontId="2" fillId="0" borderId="0" xfId="0" applyFont="1" applyBorder="1" applyAlignment="1" applyProtection="1">
      <protection locked="0"/>
    </xf>
    <xf numFmtId="0" fontId="1" fillId="0" borderId="0" xfId="0" applyFont="1" applyBorder="1"/>
    <xf numFmtId="0" fontId="0" fillId="0" borderId="28" xfId="0" applyBorder="1"/>
    <xf numFmtId="0" fontId="0" fillId="0" borderId="27" xfId="0" applyBorder="1"/>
    <xf numFmtId="49" fontId="0" fillId="0" borderId="25" xfId="0" applyNumberFormat="1" applyBorder="1"/>
    <xf numFmtId="49" fontId="0" fillId="0" borderId="28" xfId="0" applyNumberFormat="1" applyBorder="1"/>
    <xf numFmtId="0" fontId="6" fillId="6" borderId="0" xfId="0" applyFont="1" applyFill="1" applyBorder="1"/>
    <xf numFmtId="0" fontId="6" fillId="6" borderId="0" xfId="0" applyFont="1" applyFill="1"/>
    <xf numFmtId="0" fontId="1" fillId="0" borderId="0" xfId="0" quotePrefix="1" applyFont="1"/>
    <xf numFmtId="49" fontId="1" fillId="0" borderId="25" xfId="0" applyNumberFormat="1" applyFont="1" applyBorder="1"/>
    <xf numFmtId="0" fontId="2" fillId="0" borderId="27" xfId="0" quotePrefix="1" applyFont="1" applyBorder="1"/>
    <xf numFmtId="0" fontId="1" fillId="0" borderId="27" xfId="0" quotePrefix="1" applyFont="1" applyBorder="1"/>
    <xf numFmtId="0" fontId="1" fillId="0" borderId="27" xfId="0" applyFont="1" applyBorder="1"/>
    <xf numFmtId="0" fontId="2" fillId="8" borderId="4" xfId="0" applyFont="1" applyFill="1" applyBorder="1" applyAlignment="1" applyProtection="1">
      <protection locked="0"/>
    </xf>
    <xf numFmtId="0" fontId="2" fillId="6" borderId="4" xfId="0" applyFont="1" applyFill="1" applyBorder="1" applyAlignment="1" applyProtection="1">
      <protection locked="0"/>
    </xf>
    <xf numFmtId="0" fontId="2" fillId="0" borderId="7" xfId="0" applyFont="1" applyBorder="1" applyAlignment="1" applyProtection="1">
      <alignment horizontal="left"/>
      <protection locked="0"/>
    </xf>
    <xf numFmtId="0" fontId="2" fillId="0" borderId="9" xfId="0" applyFont="1" applyBorder="1" applyAlignment="1" applyProtection="1">
      <alignment horizontal="left"/>
      <protection locked="0"/>
    </xf>
    <xf numFmtId="0" fontId="1" fillId="0" borderId="1" xfId="0" applyFont="1" applyBorder="1"/>
    <xf numFmtId="0" fontId="2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2" fillId="7" borderId="21" xfId="0" applyFont="1" applyFill="1" applyBorder="1" applyAlignment="1">
      <alignment horizontal="center"/>
    </xf>
    <xf numFmtId="0" fontId="2" fillId="7" borderId="26" xfId="0" applyFont="1" applyFill="1" applyBorder="1" applyAlignment="1">
      <alignment horizontal="center"/>
    </xf>
    <xf numFmtId="0" fontId="2" fillId="7" borderId="22" xfId="0" applyFont="1" applyFill="1" applyBorder="1" applyAlignment="1">
      <alignment horizontal="center"/>
    </xf>
    <xf numFmtId="0" fontId="2" fillId="0" borderId="4" xfId="0" applyFont="1" applyBorder="1" applyAlignment="1" applyProtection="1">
      <alignment horizontal="left"/>
      <protection locked="0"/>
    </xf>
    <xf numFmtId="0" fontId="2" fillId="7" borderId="7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0" borderId="7" xfId="0" applyFont="1" applyBorder="1" applyAlignment="1" applyProtection="1">
      <alignment horizontal="left"/>
      <protection locked="0"/>
    </xf>
    <xf numFmtId="0" fontId="2" fillId="0" borderId="9" xfId="0" applyFont="1" applyBorder="1" applyAlignment="1" applyProtection="1">
      <alignment horizontal="left"/>
      <protection locked="0"/>
    </xf>
  </cellXfs>
  <cellStyles count="3">
    <cellStyle name="Ctx_Hyperlink" xfId="2" xr:uid="{00000000-0005-0000-0000-000000000000}"/>
    <cellStyle name="Normal" xfId="0" builtinId="0"/>
    <cellStyle name="YELLOW" xfId="1" xr:uid="{00000000-0005-0000-0000-00000B000000}"/>
  </cellStyles>
  <dxfs count="480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family val="2"/>
      </font>
      <numFmt numFmtId="30" formatCode="@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>
        <bottom style="medium">
          <color rgb="FF000000"/>
        </bottom>
      </border>
    </dxf>
    <dxf>
      <font>
        <b/>
        <family val="2"/>
      </font>
      <border diagonalUp="0" diagonalDown="0" outline="0">
        <left/>
        <right/>
        <top/>
        <bottom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family val="2"/>
      </font>
      <numFmt numFmtId="30" formatCode="@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>
        <bottom style="medium">
          <color rgb="FF000000"/>
        </bottom>
      </border>
    </dxf>
    <dxf>
      <font>
        <b/>
        <family val="2"/>
      </font>
      <border diagonalUp="0" diagonalDown="0" outline="0">
        <left/>
        <right/>
        <top/>
        <bottom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family val="2"/>
      </font>
      <numFmt numFmtId="30" formatCode="@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>
        <bottom style="medium">
          <color rgb="FF000000"/>
        </bottom>
      </border>
    </dxf>
    <dxf>
      <font>
        <b/>
        <family val="2"/>
      </font>
      <border diagonalUp="0" diagonalDown="0" outline="0">
        <left/>
        <right/>
        <top/>
        <bottom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family val="2"/>
      </font>
      <numFmt numFmtId="30" formatCode="@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>
        <bottom style="medium">
          <color rgb="FF000000"/>
        </bottom>
      </border>
    </dxf>
    <dxf>
      <font>
        <b/>
        <family val="2"/>
      </font>
      <border diagonalUp="0" diagonalDown="0" outline="0">
        <left/>
        <right/>
        <top/>
        <bottom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family val="2"/>
      </font>
      <numFmt numFmtId="30" formatCode="@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>
        <bottom style="medium">
          <color rgb="FF000000"/>
        </bottom>
      </border>
    </dxf>
    <dxf>
      <font>
        <b/>
        <family val="2"/>
      </font>
      <border diagonalUp="0" diagonalDown="0" outline="0">
        <left/>
        <right/>
        <top/>
        <bottom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family val="2"/>
      </font>
      <numFmt numFmtId="30" formatCode="@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>
        <bottom style="medium">
          <color rgb="FF000000"/>
        </bottom>
      </border>
    </dxf>
    <dxf>
      <font>
        <b/>
        <family val="2"/>
      </font>
      <border diagonalUp="0" diagonalDown="0" outline="0">
        <left/>
        <right/>
        <top/>
        <bottom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family val="2"/>
      </font>
      <numFmt numFmtId="30" formatCode="@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>
        <bottom style="medium">
          <color rgb="FF000000"/>
        </bottom>
      </border>
    </dxf>
    <dxf>
      <font>
        <b/>
        <family val="2"/>
      </font>
      <border diagonalUp="0" diagonalDown="0" outline="0">
        <left/>
        <right/>
        <top/>
        <bottom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family val="2"/>
      </font>
      <numFmt numFmtId="30" formatCode="@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>
        <bottom style="medium">
          <color rgb="FF000000"/>
        </bottom>
      </border>
    </dxf>
    <dxf>
      <font>
        <b/>
        <family val="2"/>
      </font>
      <border diagonalUp="0" diagonalDown="0" outline="0">
        <left/>
        <right/>
        <top/>
        <bottom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family val="2"/>
      </font>
      <numFmt numFmtId="30" formatCode="@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>
        <bottom style="medium">
          <color rgb="FF000000"/>
        </bottom>
      </border>
    </dxf>
    <dxf>
      <font>
        <b/>
        <family val="2"/>
      </font>
      <border diagonalUp="0" diagonalDown="0" outline="0">
        <left/>
        <right/>
        <top/>
        <bottom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family val="2"/>
      </font>
      <numFmt numFmtId="30" formatCode="@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>
        <bottom style="medium">
          <color rgb="FF000000"/>
        </bottom>
      </border>
    </dxf>
    <dxf>
      <font>
        <b/>
        <family val="2"/>
      </font>
      <border diagonalUp="0" diagonalDown="0" outline="0">
        <left/>
        <right/>
        <top/>
        <bottom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protection locked="0" hidden="0"/>
    </dxf>
    <dxf>
      <border>
        <bottom style="medium">
          <color rgb="FF000000"/>
        </bottom>
      </border>
    </dxf>
    <dxf>
      <font>
        <b/>
        <family val="2"/>
      </font>
      <border diagonalUp="0" diagonalDown="0">
        <left/>
        <right/>
        <top/>
        <bottom/>
      </border>
      <protection locked="0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11</xdr:col>
          <xdr:colOff>0</xdr:colOff>
          <xdr:row>53</xdr:row>
          <xdr:rowOff>38100</xdr:rowOff>
        </xdr:to>
        <xdr:sp macro="" textlink="">
          <xdr:nvSpPr>
            <xdr:cNvPr id="5140" name="Object 20" hidden="1">
              <a:extLst>
                <a:ext uri="{63B3BB69-23CF-44E3-9099-C40C66FF867C}">
                  <a14:compatExt spid="_x0000_s5140"/>
                </a:ext>
                <a:ext uri="{FF2B5EF4-FFF2-40B4-BE49-F238E27FC236}">
                  <a16:creationId xmlns:a16="http://schemas.microsoft.com/office/drawing/2014/main" id="{00000000-0008-0000-0100-00001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CDD52D-546A-4E16-B6E7-DD86158CE2D5}" name="Table143" displayName="Table143" ref="B14:D15" totalsRowShown="0" headerRowDxfId="479" dataDxfId="477" headerRowBorderDxfId="478">
  <tableColumns count="3">
    <tableColumn id="1" xr3:uid="{589B7B7B-7E0B-414C-9E81-E62B2A6235B5}" name="Attribute" dataDxfId="476"/>
    <tableColumn id="2" xr3:uid="{12123D56-E88A-4456-8E90-2810A59FC882}" name="Operator" dataDxfId="475"/>
    <tableColumn id="3" xr3:uid="{DED4F607-822C-481F-B0B8-6DF1C160FB7E}" name="Value" dataDxfId="47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7586EB2-B5D9-4F91-833B-EAD92C681F88}" name="Table1457" displayName="Table1457" ref="B19:D20" totalsRowShown="0" headerRowDxfId="473" dataDxfId="471" headerRowBorderDxfId="472">
  <tableColumns count="3">
    <tableColumn id="1" xr3:uid="{A8D276A6-4043-499B-ABF4-DC69BBF9F2B4}" name="Attribute" dataDxfId="470"/>
    <tableColumn id="2" xr3:uid="{8ACC12BF-7FC3-406C-BB61-7631A90B3AF8}" name="Operator" dataDxfId="469"/>
    <tableColumn id="3" xr3:uid="{684DC557-F2D4-4EA4-A752-0165AFCC820F}" name="Value" dataDxfId="468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2C616B1-8F82-49F5-8A27-E62AFA00BCF7}" name="Table145611" displayName="Table145611" ref="B24:D25" totalsRowShown="0" headerRowDxfId="467" dataDxfId="465" headerRowBorderDxfId="466">
  <tableColumns count="3">
    <tableColumn id="1" xr3:uid="{5624C0A1-D5B4-4ED4-A9AC-E06E53B4CBFC}" name="Attribute" dataDxfId="464"/>
    <tableColumn id="2" xr3:uid="{ACD6D5AE-8040-4735-A5D9-3ADD25F81434}" name="Operator" dataDxfId="463"/>
    <tableColumn id="3" xr3:uid="{1DF8C918-DC8A-4C46-B986-BDAF8FAF5A15}" name="Value" dataDxfId="462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FD0ABE6-16BA-43BA-A893-2FCB987AF06D}" name="Table1456812" displayName="Table1456812" ref="B29:D30" totalsRowShown="0" headerRowDxfId="461" dataDxfId="459" headerRowBorderDxfId="460">
  <tableColumns count="3">
    <tableColumn id="1" xr3:uid="{1F579C80-9DC7-4514-93B8-74E4AFB0F196}" name="Attribute" dataDxfId="458"/>
    <tableColumn id="2" xr3:uid="{D0B0F7B7-6BA1-4C3B-8746-8BB9BE1079EA}" name="Operator" dataDxfId="457"/>
    <tableColumn id="3" xr3:uid="{10C4DB8E-72D5-4319-BC40-5E17674A39DD}" name="Value" dataDxfId="456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620E49F-4FA7-4F77-8831-5CF13625A9D1}" name="Table1456891013" displayName="Table1456891013" ref="B39:D40" totalsRowShown="0" headerRowDxfId="455" dataDxfId="453" headerRowBorderDxfId="454">
  <tableColumns count="3">
    <tableColumn id="1" xr3:uid="{AC277A68-4049-417D-B785-7C5ADDEB65C9}" name="Attribute" dataDxfId="452"/>
    <tableColumn id="2" xr3:uid="{8222C5C3-1B7E-438B-A552-28E8D4B55A27}" name="Operator" dataDxfId="451"/>
    <tableColumn id="3" xr3:uid="{0FBBEA89-F486-4BF6-ACF3-4965F5652973}" name="Value" dataDxfId="450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3D15CD3-5464-4F6F-89C9-3A9593B0736B}" name="Table14568914" displayName="Table14568914" ref="B34:D35" totalsRowShown="0" headerRowDxfId="449" dataDxfId="447" headerRowBorderDxfId="448">
  <tableColumns count="3">
    <tableColumn id="1" xr3:uid="{293A55DD-E3C1-4A4C-9118-4851A9CFBFFE}" name="Attribute" dataDxfId="446"/>
    <tableColumn id="2" xr3:uid="{69D1BC4C-D3DD-42D9-9E77-95B8AAEF47F5}" name="Operator" dataDxfId="445"/>
    <tableColumn id="3" xr3:uid="{8ED23AA7-5622-4307-A3B3-DB5363EB0F1F}" name="Value" dataDxfId="444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4FD46CF-1BEA-4767-BF75-A11FF91B4AD6}" name="Table115" displayName="Table115" ref="B9:D10" totalsRowShown="0" headerRowDxfId="443" headerRowBorderDxfId="442">
  <tableColumns count="3">
    <tableColumn id="1" xr3:uid="{002AF998-61ED-4700-9442-AE2DDE95255D}" name="Attribute" dataDxfId="441"/>
    <tableColumn id="2" xr3:uid="{C75F330A-3CCB-491F-ADE2-53868B05CD31}" name="Operator" dataDxfId="440"/>
    <tableColumn id="3" xr3:uid="{A648AD5D-5BDE-43FA-93CE-15766EC09907}" name="Value" dataDxfId="439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E9C7FB50-4B5E-4618-8403-0D47A791CAA2}" name="Table728182" displayName="Table728182" ref="H8:N306" totalsRowShown="0">
  <autoFilter ref="H8:N306" xr:uid="{51F1D959-FA1C-408F-8EBB-EB57EC7988FB}"/>
  <tableColumns count="7">
    <tableColumn id="1" xr3:uid="{010F2D55-4EAF-4771-9F74-3CBE1EDBA4CA}" name="BIN" dataDxfId="438"/>
    <tableColumn id="2" xr3:uid="{7024BAFB-AC36-4E39-95FE-D76D88139FA2}" name="CAID" dataDxfId="437"/>
    <tableColumn id="9" xr3:uid="{EDF1AEEF-03C7-42BB-8187-BAA0FE53B183}" name="ARN" dataDxfId="436"/>
    <tableColumn id="4" xr3:uid="{D8271972-304F-4050-9D36-842FC704D4C8}" name="MCC" dataDxfId="435"/>
    <tableColumn id="3" xr3:uid="{2EF2A50F-9CB2-439D-90E2-15F2B8AE1678}" name="DBA" dataDxfId="434"/>
    <tableColumn id="5" xr3:uid="{A535D0C3-DBF8-42D8-B0AC-5E0C81984484}" name="Merchant Name" dataDxfId="433">
      <calculatedColumnFormula>Table728182[[#This Row],[DBA]]&amp;" - "&amp;Table728182[[#This Row],[BIN]]&amp;" - "&amp;Table728182[[#This Row],[CAID]]</calculatedColumnFormula>
    </tableColumn>
    <tableColumn id="6" xr3:uid="{3745B0E6-FA70-4E2B-A9FA-F882215D20AB}" name="Merchant ID" dataDxfId="432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CDADC6-780E-475A-9728-0BFF63361FE0}" name="Table1432" displayName="Table1432" ref="B14:D15" totalsRowShown="0" headerRowDxfId="431" dataDxfId="429" headerRowBorderDxfId="430">
  <tableColumns count="3">
    <tableColumn id="1" xr3:uid="{7EC6FC57-8718-45C5-B5AC-A078CAD48AD7}" name="Attribute" dataDxfId="428"/>
    <tableColumn id="2" xr3:uid="{30DF56BE-6C5D-4709-8774-D070DD8C55D3}" name="Operator" dataDxfId="427"/>
    <tableColumn id="3" xr3:uid="{CD44D62E-AB76-4A1F-B06E-C5096F32FED2}" name="Value" dataDxfId="426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8FE290-A8E5-49DB-B3E4-1E746A761C23}" name="Table14574" displayName="Table14574" ref="B19:D20" totalsRowShown="0" headerRowDxfId="425" dataDxfId="423" headerRowBorderDxfId="424">
  <tableColumns count="3">
    <tableColumn id="1" xr3:uid="{1D461182-09D6-47DC-970C-6ED06ADC623D}" name="Attribute" dataDxfId="422"/>
    <tableColumn id="2" xr3:uid="{764A77B7-8A9E-4F4B-9B52-036F1F60FEF9}" name="Operator" dataDxfId="421"/>
    <tableColumn id="3" xr3:uid="{2C3FC656-E711-4855-922F-639EB8C07D3D}" name="Value" dataDxfId="420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B813A26-CA9C-4CA4-B458-3C98B3FA68E9}" name="Table1456115" displayName="Table1456115" ref="B24:D25" totalsRowShown="0" headerRowDxfId="419" dataDxfId="417" headerRowBorderDxfId="418">
  <tableColumns count="3">
    <tableColumn id="1" xr3:uid="{F6C000C7-3AC9-45F8-8D72-67A6EBC8B8A2}" name="Attribute" dataDxfId="416"/>
    <tableColumn id="2" xr3:uid="{F9373E7C-A514-4DF8-A7F6-F9A0FC08AED4}" name="Operator" dataDxfId="415"/>
    <tableColumn id="3" xr3:uid="{C01AB7D9-427A-4636-8874-D01559A4FF8A}" name="Value" dataDxfId="414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01826E8-02E7-4718-A9EC-550533F4D159}" name="Table14568126" displayName="Table14568126" ref="B29:D30" totalsRowShown="0" headerRowDxfId="413" dataDxfId="411" headerRowBorderDxfId="412">
  <tableColumns count="3">
    <tableColumn id="1" xr3:uid="{0B17D36D-9E8B-4C49-82CD-568F59C04E6E}" name="Attribute" dataDxfId="410"/>
    <tableColumn id="2" xr3:uid="{7F4BDEC0-ED7D-423D-A8E2-0ED899E5A5CE}" name="Operator" dataDxfId="409"/>
    <tableColumn id="3" xr3:uid="{AA8273F6-E7B6-4481-8B5C-B9BB1BA0D0C0}" name="Value" dataDxfId="408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6B44EBF-BC4D-4C58-9BEA-194B3BCDCA49}" name="Table14568910138" displayName="Table14568910138" ref="B39:D40" totalsRowShown="0" headerRowDxfId="407" dataDxfId="405" headerRowBorderDxfId="406">
  <tableColumns count="3">
    <tableColumn id="1" xr3:uid="{057A28DB-EFA5-4C8D-8244-D896D6C9B767}" name="Attribute" dataDxfId="404"/>
    <tableColumn id="2" xr3:uid="{917F598C-AA1B-4B74-889B-5AD2B278A1F2}" name="Operator" dataDxfId="403"/>
    <tableColumn id="3" xr3:uid="{A1E23E44-83E7-4008-90A8-BBC3DE7334A1}" name="Value" dataDxfId="402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9BD2D8D-5D12-4EE9-8416-4DE48A25EC8A}" name="Table145689149" displayName="Table145689149" ref="B34:D35" totalsRowShown="0" headerRowDxfId="401" dataDxfId="399" headerRowBorderDxfId="400">
  <tableColumns count="3">
    <tableColumn id="1" xr3:uid="{E2AFE644-5D7B-4B1A-9DFD-03B336EDE910}" name="Attribute" dataDxfId="398"/>
    <tableColumn id="2" xr3:uid="{ABC87317-6398-46DA-96FE-A09A0F23A556}" name="Operator" dataDxfId="397"/>
    <tableColumn id="3" xr3:uid="{B311F0E4-C4BB-45B7-A886-CD354A365D62}" name="Value" dataDxfId="396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7F613FE-07D2-47FF-9976-C1A5A3427ABA}" name="Table11510" displayName="Table11510" ref="B9:D10" totalsRowShown="0" headerRowDxfId="395" headerRowBorderDxfId="394">
  <tableColumns count="3">
    <tableColumn id="1" xr3:uid="{DE9C92E1-077A-4A88-AE36-4EB1CA864EEE}" name="Attribute" dataDxfId="393"/>
    <tableColumn id="2" xr3:uid="{FBC863B6-9B77-4AED-A7D6-57E712739D62}" name="Operator" dataDxfId="392"/>
    <tableColumn id="3" xr3:uid="{3B6C3037-13B6-4749-94D0-12EBEAC43667}" name="Value" dataDxfId="391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8C01432-168D-43D0-8FA1-711C0D2D0A81}" name="Table72818216" displayName="Table72818216" ref="H8:N306" totalsRowShown="0">
  <autoFilter ref="H8:N306" xr:uid="{51F1D959-FA1C-408F-8EBB-EB57EC7988FB}"/>
  <tableColumns count="7">
    <tableColumn id="1" xr3:uid="{83C77981-1E05-4414-8CD7-B66D2799999F}" name="BIN" dataDxfId="390"/>
    <tableColumn id="2" xr3:uid="{17D8B0BB-5A29-44B8-8B20-B59EC09ED242}" name="CAID" dataDxfId="389"/>
    <tableColumn id="9" xr3:uid="{49717828-B8F0-4C03-B66A-7EFD9B7BB020}" name="ARN" dataDxfId="388"/>
    <tableColumn id="4" xr3:uid="{0FE1F798-7FA2-4DB2-99CA-2085A3F4304C}" name="MCC" dataDxfId="387"/>
    <tableColumn id="3" xr3:uid="{97A25064-14C2-4FE6-ABC6-2EBC67C01661}" name="DBA" dataDxfId="386"/>
    <tableColumn id="5" xr3:uid="{59E53C99-A80E-4432-9698-341B7C415C93}" name="Merchant Name" dataDxfId="385">
      <calculatedColumnFormula>Table72818216[[#This Row],[DBA]]&amp;" - "&amp;Table72818216[[#This Row],[BIN]]&amp;" - "&amp;Table72818216[[#This Row],[CAID]]</calculatedColumnFormula>
    </tableColumn>
    <tableColumn id="6" xr3:uid="{3603CCC8-5BD9-4E34-B8A7-3A51322E57E5}" name="Merchant ID" dataDxfId="384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2DD4C22-4A4C-4528-A606-EE3D22F0F0FF}" name="Table14317" displayName="Table14317" ref="B14:D15" totalsRowShown="0" headerRowDxfId="383" dataDxfId="381" headerRowBorderDxfId="382">
  <tableColumns count="3">
    <tableColumn id="1" xr3:uid="{AA692E4E-5507-4865-8811-1069BE07F477}" name="Attribute" dataDxfId="380"/>
    <tableColumn id="2" xr3:uid="{C26E9380-EBC3-4617-81FB-2060A74831F7}" name="Operator" dataDxfId="379"/>
    <tableColumn id="3" xr3:uid="{9230318C-5945-4D84-8C3E-AD768C7D45C1}" name="Value" dataDxfId="378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34E27D0-A327-4077-8A88-19B7B3B83B91}" name="Table145718" displayName="Table145718" ref="B19:D20" totalsRowShown="0" headerRowDxfId="377" dataDxfId="375" headerRowBorderDxfId="376">
  <tableColumns count="3">
    <tableColumn id="1" xr3:uid="{C5B3628F-EDEE-4020-94DB-C90D0B085645}" name="Attribute" dataDxfId="374"/>
    <tableColumn id="2" xr3:uid="{FCA889BE-062C-49EF-8F91-5C2BED488747}" name="Operator" dataDxfId="373"/>
    <tableColumn id="3" xr3:uid="{FBF14F1E-9FA7-4626-A01B-2E06EF83668C}" name="Value" dataDxfId="372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C16ECBE-7BC9-4DA0-9A49-5BD5C7F6977C}" name="Table14561119" displayName="Table14561119" ref="B24:D25" totalsRowShown="0" headerRowDxfId="371" dataDxfId="369" headerRowBorderDxfId="370">
  <tableColumns count="3">
    <tableColumn id="1" xr3:uid="{B288B868-9A63-4D82-A113-09212E7B21BD}" name="Attribute" dataDxfId="368"/>
    <tableColumn id="2" xr3:uid="{D9FAC892-E4B1-4340-9E0E-32B44A1B7B34}" name="Operator" dataDxfId="367"/>
    <tableColumn id="3" xr3:uid="{71A11DC6-80B4-4F82-A1BE-A1AB0E458337}" name="Value" dataDxfId="366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B525FE1-A04B-44F2-ABFD-0CD3737EF546}" name="Table145681220" displayName="Table145681220" ref="B29:D30" totalsRowShown="0" headerRowDxfId="365" dataDxfId="363" headerRowBorderDxfId="364">
  <tableColumns count="3">
    <tableColumn id="1" xr3:uid="{34EBB671-160D-4662-B0AE-B2EE8D87DECA}" name="Attribute" dataDxfId="362"/>
    <tableColumn id="2" xr3:uid="{D8D25139-B389-4F5A-837D-97FD4F1BCF5A}" name="Operator" dataDxfId="361"/>
    <tableColumn id="3" xr3:uid="{9083E0A4-8B82-4859-BCBA-6CA3DA3C0898}" name="Value" dataDxfId="360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61007F5-DB8E-419F-8D26-67556C1B98FE}" name="Table145689101321" displayName="Table145689101321" ref="B39:D40" totalsRowShown="0" headerRowDxfId="359" dataDxfId="357" headerRowBorderDxfId="358">
  <tableColumns count="3">
    <tableColumn id="1" xr3:uid="{26B00BF9-6200-4E0D-9715-937EE91BF748}" name="Attribute" dataDxfId="356"/>
    <tableColumn id="2" xr3:uid="{E3652789-60AE-41CF-BA7F-A8DE0144E7F3}" name="Operator" dataDxfId="355"/>
    <tableColumn id="3" xr3:uid="{D8B894FE-2163-4431-990A-DA14203BF998}" name="Value" dataDxfId="354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93554BA-53CF-4F56-AF24-0783D029BDC4}" name="Table1456891422" displayName="Table1456891422" ref="B34:D35" totalsRowShown="0" headerRowDxfId="353" dataDxfId="351" headerRowBorderDxfId="352">
  <tableColumns count="3">
    <tableColumn id="1" xr3:uid="{6861A68D-4061-430A-8A8E-D5D17953330B}" name="Attribute" dataDxfId="350"/>
    <tableColumn id="2" xr3:uid="{E6D89ED1-59F2-416D-B779-EEFD1504BC82}" name="Operator" dataDxfId="349"/>
    <tableColumn id="3" xr3:uid="{7E2D64DD-C96A-4694-A0C9-B729405A35EE}" name="Value" dataDxfId="348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81E402B-6F7C-4FB8-82E1-E568B68B33CD}" name="Table11523" displayName="Table11523" ref="B9:D10" totalsRowShown="0" headerRowDxfId="347" headerRowBorderDxfId="346">
  <tableColumns count="3">
    <tableColumn id="1" xr3:uid="{774D12CC-75B6-49B6-B0BC-55F31991AF6C}" name="Attribute" dataDxfId="345"/>
    <tableColumn id="2" xr3:uid="{19606DB4-E88E-437E-9A18-DA04C338C1FB}" name="Operator" dataDxfId="344"/>
    <tableColumn id="3" xr3:uid="{935BB925-685C-4806-A7CB-786AEE0A1C12}" name="Value" dataDxfId="343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298DC268-496B-411A-9D99-9B4C13B4FA6D}" name="Table72818224" displayName="Table72818224" ref="H8:N306" totalsRowShown="0">
  <autoFilter ref="H8:N306" xr:uid="{51F1D959-FA1C-408F-8EBB-EB57EC7988FB}"/>
  <tableColumns count="7">
    <tableColumn id="1" xr3:uid="{5B8B66FF-0F25-4F28-B463-6F42BE26DDDA}" name="BIN" dataDxfId="342"/>
    <tableColumn id="2" xr3:uid="{9D65A154-7F98-471D-AD5F-E75CCC2BAAF0}" name="CAID" dataDxfId="341"/>
    <tableColumn id="9" xr3:uid="{9ADBC830-5B9E-44E3-9DD3-F91270758789}" name="ARN" dataDxfId="340"/>
    <tableColumn id="4" xr3:uid="{AA49326F-4342-48A5-B463-950285B66B2D}" name="MCC" dataDxfId="339"/>
    <tableColumn id="3" xr3:uid="{DA780FDF-6EE1-4AE8-B3A5-15D9717B1C21}" name="DBA" dataDxfId="338"/>
    <tableColumn id="5" xr3:uid="{9E8AD0E1-3D5E-4433-8ECC-196D676BF51F}" name="Merchant Name" dataDxfId="337">
      <calculatedColumnFormula>Table72818224[[#This Row],[DBA]]&amp;" - "&amp;Table72818224[[#This Row],[BIN]]&amp;" - "&amp;Table72818224[[#This Row],[CAID]]</calculatedColumnFormula>
    </tableColumn>
    <tableColumn id="6" xr3:uid="{495528D7-7A6F-4C92-AD27-9A74BF280527}" name="Merchant ID" dataDxfId="336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F2AB2AA4-0BAB-4F92-BD8A-E9190223B45B}" name="Table1431725" displayName="Table1431725" ref="B14:D15" totalsRowShown="0" headerRowDxfId="335" dataDxfId="333" headerRowBorderDxfId="334">
  <tableColumns count="3">
    <tableColumn id="1" xr3:uid="{A81F1FFF-6D35-457E-8F5E-7AF7F467D4E8}" name="Attribute" dataDxfId="332"/>
    <tableColumn id="2" xr3:uid="{F24DEF70-1210-4717-B7F6-9C713A01ECDF}" name="Operator" dataDxfId="331"/>
    <tableColumn id="3" xr3:uid="{79B27FCD-D4CE-4D39-93C9-AB69B00CF6E8}" name="Value" dataDxfId="330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D7631750-D18D-4162-B4AB-6970235FFD08}" name="Table14571826" displayName="Table14571826" ref="B19:D20" totalsRowShown="0" headerRowDxfId="329" dataDxfId="327" headerRowBorderDxfId="328">
  <tableColumns count="3">
    <tableColumn id="1" xr3:uid="{B4464088-E9A0-492A-B7B9-22E2732E3A0D}" name="Attribute" dataDxfId="326"/>
    <tableColumn id="2" xr3:uid="{4EAC56ED-A870-45F1-9B1E-AE2F719393CE}" name="Operator" dataDxfId="325"/>
    <tableColumn id="3" xr3:uid="{B66E7BA1-7605-42B9-8089-ED4E50E58659}" name="Value" dataDxfId="324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5EEDEC06-C715-470D-AD23-2797C94E28F2}" name="Table1456111927" displayName="Table1456111927" ref="B24:D25" totalsRowShown="0" headerRowDxfId="323" dataDxfId="321" headerRowBorderDxfId="322">
  <tableColumns count="3">
    <tableColumn id="1" xr3:uid="{B0142182-3BFB-4F0F-8AD9-56207B04A830}" name="Attribute" dataDxfId="320"/>
    <tableColumn id="2" xr3:uid="{79C41777-8537-499E-A69C-C3BE46766591}" name="Operator" dataDxfId="319"/>
    <tableColumn id="3" xr3:uid="{4188848D-92F3-4938-A74D-47E785531F10}" name="Value" dataDxfId="318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B7C93A0-FA49-4E4B-A71B-58BFD87FEC71}" name="Table14568122028" displayName="Table14568122028" ref="B29:D30" totalsRowShown="0" headerRowDxfId="317" dataDxfId="315" headerRowBorderDxfId="316">
  <tableColumns count="3">
    <tableColumn id="1" xr3:uid="{72BFA472-0AF4-4B6B-97D5-0E1ADCDE469A}" name="Attribute" dataDxfId="314"/>
    <tableColumn id="2" xr3:uid="{901737E2-73C2-47F6-8E1E-990380AC2946}" name="Operator" dataDxfId="313"/>
    <tableColumn id="3" xr3:uid="{AD163F52-93B7-430B-9B3E-D26C305CBC6D}" name="Value" dataDxfId="312"/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D27FB29C-7600-49AD-9A66-21C84A491435}" name="Table14568910132129" displayName="Table14568910132129" ref="B39:D40" totalsRowShown="0" headerRowDxfId="311" dataDxfId="309" headerRowBorderDxfId="310">
  <tableColumns count="3">
    <tableColumn id="1" xr3:uid="{84CD57E4-4B00-47DC-BDE7-F62B0A59512A}" name="Attribute" dataDxfId="308"/>
    <tableColumn id="2" xr3:uid="{1964D5C7-409B-4086-A613-51D7C03081DD}" name="Operator" dataDxfId="307"/>
    <tableColumn id="3" xr3:uid="{DE13E95E-6BA9-45DF-B142-22E74A9A0B7E}" name="Value" dataDxfId="306"/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93A46B59-FAF3-43DE-86D2-BF5774899885}" name="Table145689142230" displayName="Table145689142230" ref="B34:D35" totalsRowShown="0" headerRowDxfId="305" dataDxfId="303" headerRowBorderDxfId="304">
  <tableColumns count="3">
    <tableColumn id="1" xr3:uid="{5E8F2E13-496E-498E-A3DD-4656973AF052}" name="Attribute" dataDxfId="302"/>
    <tableColumn id="2" xr3:uid="{4FEC1CC0-C9EE-40A4-9EB2-A2CB249F4FE1}" name="Operator" dataDxfId="301"/>
    <tableColumn id="3" xr3:uid="{5F58A0E6-C5D2-4B5A-A77F-3DABAF9B0BA7}" name="Value" dataDxfId="300"/>
  </tableColumns>
  <tableStyleInfo name="TableStyleLight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2EDD5C9-AA22-4EA4-B02F-2457029B9F80}" name="Table1152331" displayName="Table1152331" ref="B9:D10" totalsRowShown="0" headerRowDxfId="299" headerRowBorderDxfId="298">
  <tableColumns count="3">
    <tableColumn id="1" xr3:uid="{00BD750E-0A80-445F-80D7-3922368B1911}" name="Attribute" dataDxfId="297"/>
    <tableColumn id="2" xr3:uid="{3A107F8E-4034-415B-AF33-43E505C384B9}" name="Operator" dataDxfId="296"/>
    <tableColumn id="3" xr3:uid="{B0A54E3B-5227-48F8-89D7-077BEC4A2229}" name="Value" dataDxfId="295"/>
  </tableColumns>
  <tableStyleInfo name="TableStyleLight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B52209F7-FB7C-47CF-9801-6A87A0CEB7F4}" name="Table7281822432" displayName="Table7281822432" ref="H8:N306" totalsRowShown="0">
  <autoFilter ref="H8:N306" xr:uid="{51F1D959-FA1C-408F-8EBB-EB57EC7988FB}"/>
  <tableColumns count="7">
    <tableColumn id="1" xr3:uid="{F87FDA79-3693-4DE2-863D-4D2E382CA303}" name="BIN" dataDxfId="294"/>
    <tableColumn id="2" xr3:uid="{2D435B2F-DCDA-4A10-A81C-141453944B14}" name="CAID" dataDxfId="293"/>
    <tableColumn id="9" xr3:uid="{49691ED7-4221-43A3-8CEB-0D98E446771D}" name="ARN" dataDxfId="292"/>
    <tableColumn id="4" xr3:uid="{896302D7-38F4-4578-BF30-F78B5D97B2F9}" name="MCC" dataDxfId="291"/>
    <tableColumn id="3" xr3:uid="{90F07344-F781-4478-84E9-D1493E926872}" name="DBA" dataDxfId="290"/>
    <tableColumn id="5" xr3:uid="{3F39548B-99B9-4BA3-9AA7-4536B4B516C2}" name="Merchant Name" dataDxfId="289">
      <calculatedColumnFormula>Table7281822432[[#This Row],[DBA]]&amp;" - "&amp;Table7281822432[[#This Row],[BIN]]&amp;" - "&amp;Table7281822432[[#This Row],[CAID]]</calculatedColumnFormula>
    </tableColumn>
    <tableColumn id="6" xr3:uid="{27F71DDA-A8E7-465F-8AC3-2A952EDD816A}" name="Merchant ID" dataDxfId="288"/>
  </tableColumns>
  <tableStyleInfo name="TableStyleMedium9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8D4AE682-C54C-4D42-BFB1-02126FBC0FB4}" name="Table143172533" displayName="Table143172533" ref="B14:D15" totalsRowShown="0" headerRowDxfId="287" dataDxfId="285" headerRowBorderDxfId="286">
  <tableColumns count="3">
    <tableColumn id="1" xr3:uid="{018FAC72-5BEC-4AA5-9CB9-A40079610278}" name="Attribute" dataDxfId="284"/>
    <tableColumn id="2" xr3:uid="{7406CD69-8C7A-49CC-A2E6-AA3F33EFACE6}" name="Operator" dataDxfId="283"/>
    <tableColumn id="3" xr3:uid="{744F3FA9-C5CB-4E9D-9579-14CB699C658C}" name="Value" dataDxfId="282"/>
  </tableColumns>
  <tableStyleInfo name="TableStyleLight9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E0C5FB03-1945-49B7-8787-03C2F39CBD4F}" name="Table1457182634" displayName="Table1457182634" ref="B19:D20" totalsRowShown="0" headerRowDxfId="281" dataDxfId="279" headerRowBorderDxfId="280">
  <tableColumns count="3">
    <tableColumn id="1" xr3:uid="{FB7056EC-15A0-4FFC-97A1-09EFC0A3F575}" name="Attribute" dataDxfId="278"/>
    <tableColumn id="2" xr3:uid="{C1025F96-B34B-42DF-9969-3AB9CEE4AB01}" name="Operator" dataDxfId="277"/>
    <tableColumn id="3" xr3:uid="{51C01C78-D9D9-46C2-947B-6C5F58B2DF71}" name="Value" dataDxfId="276"/>
  </tableColumns>
  <tableStyleInfo name="TableStyleLight9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77CADDF-A8D8-43C8-9CF4-32B0908D627D}" name="Table145611192735" displayName="Table145611192735" ref="B24:D25" totalsRowShown="0" headerRowDxfId="275" dataDxfId="273" headerRowBorderDxfId="274">
  <tableColumns count="3">
    <tableColumn id="1" xr3:uid="{7080C5F8-908C-47F9-8D77-4A3CDABA48A2}" name="Attribute" dataDxfId="272"/>
    <tableColumn id="2" xr3:uid="{89B04CD6-6D9D-442B-9ACC-4DD49AD41E5C}" name="Operator" dataDxfId="271"/>
    <tableColumn id="3" xr3:uid="{39545BB0-5E79-43F6-BB96-F88EF05384B2}" name="Value" dataDxfId="270"/>
  </tableColumns>
  <tableStyleInfo name="TableStyleLight9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F5E65E6A-73BB-4A11-9850-C3142AD21EAC}" name="Table1456812202836" displayName="Table1456812202836" ref="B29:D30" totalsRowShown="0" headerRowDxfId="269" dataDxfId="267" headerRowBorderDxfId="268">
  <tableColumns count="3">
    <tableColumn id="1" xr3:uid="{8EE6ACA9-4AFC-4A96-A7E5-9983CC3970BC}" name="Attribute" dataDxfId="266"/>
    <tableColumn id="2" xr3:uid="{36A773EC-1AF9-40D0-ADF1-C6AA0B7C0049}" name="Operator" dataDxfId="265"/>
    <tableColumn id="3" xr3:uid="{017B0C60-7A3A-40FE-A3B4-5F642201B95C}" name="Value" dataDxfId="264"/>
  </tableColumns>
  <tableStyleInfo name="TableStyleLight9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12F20C8A-8BAA-4686-B741-C9259D8F8381}" name="Table1456891013212937" displayName="Table1456891013212937" ref="B39:D40" totalsRowShown="0" headerRowDxfId="263" dataDxfId="261" headerRowBorderDxfId="262">
  <tableColumns count="3">
    <tableColumn id="1" xr3:uid="{0EDB3628-E9F7-4E95-84DA-56D85E6A3288}" name="Attribute" dataDxfId="260"/>
    <tableColumn id="2" xr3:uid="{80D02ECB-0EA5-48A8-A9E5-60ACF253144C}" name="Operator" dataDxfId="259"/>
    <tableColumn id="3" xr3:uid="{F343612B-2EC1-4C29-807C-619003E40AF3}" name="Value" dataDxfId="258"/>
  </tableColumns>
  <tableStyleInfo name="TableStyleLight9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FC7E81D0-23C5-49D5-858B-C79FDD8C6979}" name="Table14568914223038" displayName="Table14568914223038" ref="B34:D35" totalsRowShown="0" headerRowDxfId="257" dataDxfId="255" headerRowBorderDxfId="256">
  <tableColumns count="3">
    <tableColumn id="1" xr3:uid="{260914D9-FB5F-457B-B1B7-AA41F62CA956}" name="Attribute" dataDxfId="254"/>
    <tableColumn id="2" xr3:uid="{EB8B4171-2F38-4C1E-BF12-EE74A39C96AD}" name="Operator" dataDxfId="253"/>
    <tableColumn id="3" xr3:uid="{6839D98D-BCC0-4C4E-A277-2C95541F15DB}" name="Value" dataDxfId="252"/>
  </tableColumns>
  <tableStyleInfo name="TableStyleLight9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52A66C5B-DB77-4C8F-B123-1DD604FAE18D}" name="Table115233139" displayName="Table115233139" ref="B9:D10" totalsRowShown="0" headerRowDxfId="251" headerRowBorderDxfId="250">
  <tableColumns count="3">
    <tableColumn id="1" xr3:uid="{67FD769F-883F-49AC-B34C-E1DC038BED19}" name="Attribute" dataDxfId="249"/>
    <tableColumn id="2" xr3:uid="{EBA35A65-D1FF-4747-8953-FA7E3DD4C8C3}" name="Operator" dataDxfId="248"/>
    <tableColumn id="3" xr3:uid="{EE05A825-F3B3-4244-8EF9-D202BAA36569}" name="Value" dataDxfId="247"/>
  </tableColumns>
  <tableStyleInfo name="TableStyleLight9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6E4CBE76-1C8A-4EEC-BFA3-B0124C8DC9A3}" name="Table728182243240" displayName="Table728182243240" ref="H8:N306" totalsRowShown="0">
  <autoFilter ref="H8:N306" xr:uid="{51F1D959-FA1C-408F-8EBB-EB57EC7988FB}"/>
  <tableColumns count="7">
    <tableColumn id="1" xr3:uid="{20EC0DF1-3958-406A-91A9-6692C9852EAA}" name="BIN" dataDxfId="246"/>
    <tableColumn id="2" xr3:uid="{5CC1C7C9-45D4-461E-A55A-1478E31EFAC1}" name="CAID" dataDxfId="245"/>
    <tableColumn id="9" xr3:uid="{AE2A6F21-2976-48C3-BAB2-6C45ADB9CBEF}" name="ARN" dataDxfId="244"/>
    <tableColumn id="4" xr3:uid="{0EE50C73-D86B-4EA2-8D53-6425202E4C0E}" name="MCC" dataDxfId="243"/>
    <tableColumn id="3" xr3:uid="{3D933284-DE8B-482F-92B6-8B737287E1B5}" name="DBA" dataDxfId="242"/>
    <tableColumn id="5" xr3:uid="{449DF201-109E-455F-AD45-4E0FA07BAE28}" name="Merchant Name" dataDxfId="241">
      <calculatedColumnFormula>Table728182243240[[#This Row],[DBA]]&amp;" - "&amp;Table728182243240[[#This Row],[BIN]]&amp;" - "&amp;Table728182243240[[#This Row],[CAID]]</calculatedColumnFormula>
    </tableColumn>
    <tableColumn id="6" xr3:uid="{C9E50999-9C04-47D4-A399-473D02E16796}" name="Merchant ID" dataDxfId="240"/>
  </tableColumns>
  <tableStyleInfo name="TableStyleMedium9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B6ED5CA5-2801-4065-8792-0E6312AE43CA}" name="Table14317253341" displayName="Table14317253341" ref="B14:D15" totalsRowShown="0" headerRowDxfId="239" dataDxfId="237" headerRowBorderDxfId="238">
  <tableColumns count="3">
    <tableColumn id="1" xr3:uid="{8217AE18-2AD6-4D2C-AE9C-6BDB931300BF}" name="Attribute" dataDxfId="236"/>
    <tableColumn id="2" xr3:uid="{C8F9B6FB-B551-4A7D-8381-F47A1EE53FCA}" name="Operator" dataDxfId="235"/>
    <tableColumn id="3" xr3:uid="{E4FD7112-1688-4779-9860-4892327D5BC0}" name="Value" dataDxfId="234"/>
  </tableColumns>
  <tableStyleInfo name="TableStyleLight9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825866E-9A61-47DB-B19B-26C2BB7731DC}" name="Table145718263442" displayName="Table145718263442" ref="B19:D20" totalsRowShown="0" headerRowDxfId="233" dataDxfId="231" headerRowBorderDxfId="232">
  <tableColumns count="3">
    <tableColumn id="1" xr3:uid="{A14EF937-4DEF-4131-B7F4-9FC6FDF5D506}" name="Attribute" dataDxfId="230"/>
    <tableColumn id="2" xr3:uid="{77C6D6A4-F467-4271-8953-1C447C7531CC}" name="Operator" dataDxfId="229"/>
    <tableColumn id="3" xr3:uid="{89EEE826-8367-43F5-806B-24B203654E45}" name="Value" dataDxfId="228"/>
  </tableColumns>
  <tableStyleInfo name="TableStyleLight9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D9EC7C22-8CD2-459D-B18E-E80247AAC6DA}" name="Table14561119273543" displayName="Table14561119273543" ref="B24:D25" totalsRowShown="0" headerRowDxfId="227" dataDxfId="225" headerRowBorderDxfId="226">
  <tableColumns count="3">
    <tableColumn id="1" xr3:uid="{545F8EB2-4CC5-4F0C-A2FD-BB48C22C9FAF}" name="Attribute" dataDxfId="224"/>
    <tableColumn id="2" xr3:uid="{7B198FD2-9584-4EF5-B5F6-F6E45848781F}" name="Operator" dataDxfId="223"/>
    <tableColumn id="3" xr3:uid="{23F8469A-48A0-4C3A-9702-C07D010E10A1}" name="Value" dataDxfId="222"/>
  </tableColumns>
  <tableStyleInfo name="TableStyleLight9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B3AC142A-7FBE-48EE-94BF-368D06DA8302}" name="Table145681220283644" displayName="Table145681220283644" ref="B29:D30" totalsRowShown="0" headerRowDxfId="221" dataDxfId="219" headerRowBorderDxfId="220">
  <tableColumns count="3">
    <tableColumn id="1" xr3:uid="{FE3F9464-3620-4F15-B1BF-B0A171C20B47}" name="Attribute" dataDxfId="218"/>
    <tableColumn id="2" xr3:uid="{29F877B0-C076-43CB-99F6-98F02FA062D8}" name="Operator" dataDxfId="217"/>
    <tableColumn id="3" xr3:uid="{2F417FDF-008F-4256-AACC-5EF99A23FD38}" name="Value" dataDxfId="216"/>
  </tableColumns>
  <tableStyleInfo name="TableStyleLight9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AD66C02B-6B3D-4110-8C59-403136BFED8B}" name="Table145689101321293745" displayName="Table145689101321293745" ref="B39:D40" totalsRowShown="0" headerRowDxfId="215" dataDxfId="213" headerRowBorderDxfId="214">
  <tableColumns count="3">
    <tableColumn id="1" xr3:uid="{F5D5B98F-C1A9-4E06-95C4-043859267926}" name="Attribute" dataDxfId="212"/>
    <tableColumn id="2" xr3:uid="{E392B8A7-F53B-4A45-A64F-B75BAD0A1F5F}" name="Operator" dataDxfId="211"/>
    <tableColumn id="3" xr3:uid="{230EAD4E-60D1-4376-BFAA-48474B2DCD5F}" name="Value" dataDxfId="210"/>
  </tableColumns>
  <tableStyleInfo name="TableStyleLight9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F24614D8-D1B3-4FC2-8932-6CD12C37C7FE}" name="Table1456891422303846" displayName="Table1456891422303846" ref="B34:D35" totalsRowShown="0" headerRowDxfId="209" dataDxfId="207" headerRowBorderDxfId="208">
  <tableColumns count="3">
    <tableColumn id="1" xr3:uid="{10DF1B23-B5AE-4487-B83F-99B708660A9B}" name="Attribute" dataDxfId="206"/>
    <tableColumn id="2" xr3:uid="{D31A8C1C-82A8-4833-87C9-4D8E888C3569}" name="Operator" dataDxfId="205"/>
    <tableColumn id="3" xr3:uid="{2F3580AA-4604-49F5-BE04-16A235A3FA5D}" name="Value" dataDxfId="204"/>
  </tableColumns>
  <tableStyleInfo name="TableStyleLight9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505252F3-3FD4-43C9-9EDF-701AB8DC64BE}" name="Table11523313947" displayName="Table11523313947" ref="B9:D10" totalsRowShown="0" headerRowDxfId="203" headerRowBorderDxfId="202">
  <tableColumns count="3">
    <tableColumn id="1" xr3:uid="{04358065-D1EA-45B6-AAEA-CD21C4592D82}" name="Attribute" dataDxfId="201"/>
    <tableColumn id="2" xr3:uid="{16F7A476-9952-475D-879D-707C422F37CE}" name="Operator" dataDxfId="200"/>
    <tableColumn id="3" xr3:uid="{5328E621-1C85-48B8-88B9-CCDFD9C86614}" name="Value" dataDxfId="199"/>
  </tableColumns>
  <tableStyleInfo name="TableStyleLight9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BC65E922-740A-4169-AEE9-5B44B0CEEE05}" name="Table72818224324048" displayName="Table72818224324048" ref="H8:N306" totalsRowShown="0">
  <autoFilter ref="H8:N306" xr:uid="{51F1D959-FA1C-408F-8EBB-EB57EC7988FB}"/>
  <tableColumns count="7">
    <tableColumn id="1" xr3:uid="{9C70222F-F97B-432B-BBAB-E3B54AFB0071}" name="BIN" dataDxfId="198"/>
    <tableColumn id="2" xr3:uid="{B8E7C2AE-BC8D-43E3-BA41-3FF312E8B61A}" name="CAID" dataDxfId="197"/>
    <tableColumn id="9" xr3:uid="{2DEB33FB-3E40-447E-BB24-6AC857B103B2}" name="ARN" dataDxfId="196"/>
    <tableColumn id="4" xr3:uid="{8BD65C16-CAA7-498A-95EB-B5F2F38823BC}" name="MCC" dataDxfId="195"/>
    <tableColumn id="3" xr3:uid="{D7AA5B4F-2177-4E62-8B5A-B4792D3A8871}" name="DBA" dataDxfId="194"/>
    <tableColumn id="5" xr3:uid="{23D8D070-51BD-42F1-BA9C-68935DFEB265}" name="Merchant Name" dataDxfId="193">
      <calculatedColumnFormula>Table72818224324048[[#This Row],[DBA]]&amp;" - "&amp;Table72818224324048[[#This Row],[BIN]]&amp;" - "&amp;Table72818224324048[[#This Row],[CAID]]</calculatedColumnFormula>
    </tableColumn>
    <tableColumn id="6" xr3:uid="{B6A0657C-4A54-4401-A20E-B122123B974E}" name="Merchant ID" dataDxfId="192"/>
  </tableColumns>
  <tableStyleInfo name="TableStyleMedium9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2CE70653-7E83-4E13-91A9-61AB3B15DA8A}" name="Table1431725334149" displayName="Table1431725334149" ref="B14:D15" totalsRowShown="0" headerRowDxfId="191" dataDxfId="189" headerRowBorderDxfId="190">
  <tableColumns count="3">
    <tableColumn id="1" xr3:uid="{EAB26C90-2369-4C2E-BB5B-C1ABEBFEC9CA}" name="Attribute" dataDxfId="188"/>
    <tableColumn id="2" xr3:uid="{1CD0CBE4-B043-4ED9-9E30-F236410AE7CB}" name="Operator" dataDxfId="187"/>
    <tableColumn id="3" xr3:uid="{E2720BA4-DDBC-4EB5-9A8B-3D44247770C4}" name="Value" dataDxfId="186"/>
  </tableColumns>
  <tableStyleInfo name="TableStyleLight9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5B8E7C1C-D794-4383-B52A-6A9283ED6B04}" name="Table14571826344250" displayName="Table14571826344250" ref="B19:D20" totalsRowShown="0" headerRowDxfId="185" dataDxfId="183" headerRowBorderDxfId="184">
  <tableColumns count="3">
    <tableColumn id="1" xr3:uid="{A5005CE7-D8BB-4763-8A21-FF57AB83C24A}" name="Attribute" dataDxfId="182"/>
    <tableColumn id="2" xr3:uid="{2CC23829-6F73-49D0-9863-63A4EB4EEB40}" name="Operator" dataDxfId="181"/>
    <tableColumn id="3" xr3:uid="{0E78F88F-AFF6-48E8-82DC-25B945211C62}" name="Value" dataDxfId="180"/>
  </tableColumns>
  <tableStyleInfo name="TableStyleLight9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6504610E-2D83-424A-8E31-D0BCF65F7689}" name="Table1456111927354351" displayName="Table1456111927354351" ref="B24:D25" totalsRowShown="0" headerRowDxfId="179" dataDxfId="177" headerRowBorderDxfId="178">
  <tableColumns count="3">
    <tableColumn id="1" xr3:uid="{1A11AB94-A8A7-4AD3-88DE-14A430B2C9D7}" name="Attribute" dataDxfId="176"/>
    <tableColumn id="2" xr3:uid="{1D5CD4BD-5141-4660-8245-7B0DAB99ECDB}" name="Operator" dataDxfId="175"/>
    <tableColumn id="3" xr3:uid="{07007AF1-613E-42F4-9C60-9570AFBD7837}" name="Value" dataDxfId="174"/>
  </tableColumns>
  <tableStyleInfo name="TableStyleLight9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CABC9E73-380D-4D71-827F-0FAC90348166}" name="Table14568122028364452" displayName="Table14568122028364452" ref="B29:D30" totalsRowShown="0" headerRowDxfId="173" dataDxfId="171" headerRowBorderDxfId="172">
  <tableColumns count="3">
    <tableColumn id="1" xr3:uid="{61B88868-ED1F-4B40-96AC-2A073D57D144}" name="Attribute" dataDxfId="170"/>
    <tableColumn id="2" xr3:uid="{98632D8E-7058-4150-BA12-559DA9607B10}" name="Operator" dataDxfId="169"/>
    <tableColumn id="3" xr3:uid="{4319DEA6-DA90-4719-B037-128D6C8ECB24}" name="Value" dataDxfId="168"/>
  </tableColumns>
  <tableStyleInfo name="TableStyleLight9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4E9404A6-A585-40D0-80C9-5EA5D7A1D800}" name="Table14568910132129374553" displayName="Table14568910132129374553" ref="B39:D40" totalsRowShown="0" headerRowDxfId="167" dataDxfId="165" headerRowBorderDxfId="166">
  <tableColumns count="3">
    <tableColumn id="1" xr3:uid="{AFD51C2D-6D7E-4272-BB50-AACFE07FE469}" name="Attribute" dataDxfId="164"/>
    <tableColumn id="2" xr3:uid="{11623987-C1EB-4267-8E1F-495AF0306FB8}" name="Operator" dataDxfId="163"/>
    <tableColumn id="3" xr3:uid="{953FFDC8-3947-4BB6-9439-0C50640D4242}" name="Value" dataDxfId="162"/>
  </tableColumns>
  <tableStyleInfo name="TableStyleLight9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AB13E11-D006-41F7-80E7-36D22CC994EE}" name="Table145689142230384654" displayName="Table145689142230384654" ref="B34:D35" totalsRowShown="0" headerRowDxfId="161" dataDxfId="159" headerRowBorderDxfId="160">
  <tableColumns count="3">
    <tableColumn id="1" xr3:uid="{1233D068-4A3C-4290-8AF3-144EC01DDCDE}" name="Attribute" dataDxfId="158"/>
    <tableColumn id="2" xr3:uid="{734D8CF2-ED42-4DF2-B0A9-BB5D4CF4BE91}" name="Operator" dataDxfId="157"/>
    <tableColumn id="3" xr3:uid="{A8C4DCB7-DABD-4A29-A6E6-0A6049E3387A}" name="Value" dataDxfId="156"/>
  </tableColumns>
  <tableStyleInfo name="TableStyleLight9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CE90A5B7-9987-4C3D-8ABD-12D77FC00768}" name="Table1152331394755" displayName="Table1152331394755" ref="B9:D10" totalsRowShown="0" headerRowDxfId="155" headerRowBorderDxfId="154">
  <tableColumns count="3">
    <tableColumn id="1" xr3:uid="{59A168BE-7BD5-48C2-8A67-CC1E204D4C4D}" name="Attribute" dataDxfId="153"/>
    <tableColumn id="2" xr3:uid="{645FEC52-D804-4AD9-96CB-2905E6A8BBC4}" name="Operator" dataDxfId="152"/>
    <tableColumn id="3" xr3:uid="{9A6D4009-6F6B-46DB-9CA8-81B09E9992A9}" name="Value" dataDxfId="151"/>
  </tableColumns>
  <tableStyleInfo name="TableStyleLight9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89BEAC21-01A2-496B-8956-84C898D0FE0E}" name="Table7281822432404856" displayName="Table7281822432404856" ref="H8:N306" totalsRowShown="0">
  <autoFilter ref="H8:N306" xr:uid="{51F1D959-FA1C-408F-8EBB-EB57EC7988FB}"/>
  <tableColumns count="7">
    <tableColumn id="1" xr3:uid="{C3E4F2FE-5085-4592-AF62-376C5C1752DE}" name="BIN" dataDxfId="150"/>
    <tableColumn id="2" xr3:uid="{1E60B806-FA8B-4E42-9D0D-7565C7992EA5}" name="CAID" dataDxfId="149"/>
    <tableColumn id="9" xr3:uid="{B96183DD-2B43-4864-9613-2D607C20678F}" name="ARN" dataDxfId="148"/>
    <tableColumn id="4" xr3:uid="{390C04BB-004C-4A8D-B608-E67A301115D1}" name="MCC" dataDxfId="147"/>
    <tableColumn id="3" xr3:uid="{CF87C3E0-F630-4665-84C4-02424E4A24B8}" name="DBA" dataDxfId="146"/>
    <tableColumn id="5" xr3:uid="{377745EA-FBC1-49CB-8C19-F9736D6C2909}" name="Merchant Name" dataDxfId="145">
      <calculatedColumnFormula>Table7281822432404856[[#This Row],[DBA]]&amp;" - "&amp;Table7281822432404856[[#This Row],[BIN]]&amp;" - "&amp;Table7281822432404856[[#This Row],[CAID]]</calculatedColumnFormula>
    </tableColumn>
    <tableColumn id="6" xr3:uid="{45FA8F2F-D0F5-4C78-8400-F4B8761F75AE}" name="Merchant ID" dataDxfId="144"/>
  </tableColumns>
  <tableStyleInfo name="TableStyleMedium9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B5F9C0AD-E81E-4722-8D41-3B52440DD885}" name="Table143172533414957" displayName="Table143172533414957" ref="B14:D15" totalsRowShown="0" headerRowDxfId="143" dataDxfId="141" headerRowBorderDxfId="142">
  <tableColumns count="3">
    <tableColumn id="1" xr3:uid="{876AD74D-140D-43EC-B619-3C1559CEFC7D}" name="Attribute" dataDxfId="140"/>
    <tableColumn id="2" xr3:uid="{FCA24C56-0123-4517-B869-02D869C5775A}" name="Operator" dataDxfId="139"/>
    <tableColumn id="3" xr3:uid="{F1561359-EFD1-470E-B5D5-741E48AC703D}" name="Value" dataDxfId="138"/>
  </tableColumns>
  <tableStyleInfo name="TableStyleLight9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5D62180F-909F-4E8C-909F-63FD80A25A46}" name="Table1457182634425058" displayName="Table1457182634425058" ref="B19:D20" totalsRowShown="0" headerRowDxfId="137" dataDxfId="135" headerRowBorderDxfId="136">
  <tableColumns count="3">
    <tableColumn id="1" xr3:uid="{B4D22934-B806-49DE-A5E6-3C11D3F03827}" name="Attribute" dataDxfId="134"/>
    <tableColumn id="2" xr3:uid="{3ACA7184-21D4-44BD-BD20-7A10D952E3B4}" name="Operator" dataDxfId="133"/>
    <tableColumn id="3" xr3:uid="{FEF890AB-FA46-4475-84F6-1676D97259AB}" name="Value" dataDxfId="132"/>
  </tableColumns>
  <tableStyleInfo name="TableStyleLight9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566E13F9-CB86-4A3F-81FF-E70623E2757B}" name="Table145611192735435159" displayName="Table145611192735435159" ref="B24:D25" totalsRowShown="0" headerRowDxfId="131" dataDxfId="129" headerRowBorderDxfId="130">
  <tableColumns count="3">
    <tableColumn id="1" xr3:uid="{016718A4-8286-4224-9897-A06A0D20B899}" name="Attribute" dataDxfId="128"/>
    <tableColumn id="2" xr3:uid="{79E319D2-71A9-4DB2-987E-ED52D681AD27}" name="Operator" dataDxfId="127"/>
    <tableColumn id="3" xr3:uid="{41E80CCD-F040-4CB6-B9E2-B1DDEC2D8CF1}" name="Value" dataDxfId="126"/>
  </tableColumns>
  <tableStyleInfo name="TableStyleLight9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1856472E-80C3-4FD1-AA68-03AE5323F484}" name="Table1456812202836445260" displayName="Table1456812202836445260" ref="B29:D30" totalsRowShown="0" headerRowDxfId="125" dataDxfId="123" headerRowBorderDxfId="124">
  <tableColumns count="3">
    <tableColumn id="1" xr3:uid="{E04B402E-22B7-4FD7-B499-4608F01DD8C5}" name="Attribute" dataDxfId="122"/>
    <tableColumn id="2" xr3:uid="{253D4F0E-D698-412F-8197-63833F627627}" name="Operator" dataDxfId="121"/>
    <tableColumn id="3" xr3:uid="{574FB72A-02AC-4551-8C74-E86904F80109}" name="Value" dataDxfId="120"/>
  </tableColumns>
  <tableStyleInfo name="TableStyleLight9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3D75D109-0D7C-448C-A914-903C224223FA}" name="Table1456891013212937455361" displayName="Table1456891013212937455361" ref="B39:D40" totalsRowShown="0" headerRowDxfId="119" dataDxfId="117" headerRowBorderDxfId="118">
  <tableColumns count="3">
    <tableColumn id="1" xr3:uid="{02416796-2B32-405A-B64A-522B5516B11D}" name="Attribute" dataDxfId="116"/>
    <tableColumn id="2" xr3:uid="{B89A02DD-4950-4984-B1C8-8A17977CB340}" name="Operator" dataDxfId="115"/>
    <tableColumn id="3" xr3:uid="{3842A9D8-AE06-4607-96FA-C5A8277978F1}" name="Value" dataDxfId="114"/>
  </tableColumns>
  <tableStyleInfo name="TableStyleLight9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D2412A4E-D731-4C4E-9AE3-6653C2661015}" name="Table14568914223038465462" displayName="Table14568914223038465462" ref="B34:D35" totalsRowShown="0" headerRowDxfId="113" dataDxfId="111" headerRowBorderDxfId="112">
  <tableColumns count="3">
    <tableColumn id="1" xr3:uid="{97CD67AD-EDD3-431B-91AF-327E949DD407}" name="Attribute" dataDxfId="110"/>
    <tableColumn id="2" xr3:uid="{C9A0229B-6BAF-4398-A70A-9B457A059077}" name="Operator" dataDxfId="109"/>
    <tableColumn id="3" xr3:uid="{FEFEE48E-6CC7-4E27-9172-6DCD3B327905}" name="Value" dataDxfId="108"/>
  </tableColumns>
  <tableStyleInfo name="TableStyleLight9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36749CC5-5EF2-4BF9-B8EF-2BC465C4794F}" name="Table115233139475563" displayName="Table115233139475563" ref="B9:D10" totalsRowShown="0" headerRowDxfId="107" headerRowBorderDxfId="106">
  <tableColumns count="3">
    <tableColumn id="1" xr3:uid="{9B4DED4A-370B-41D6-AA07-888AEA3F1008}" name="Attribute" dataDxfId="105"/>
    <tableColumn id="2" xr3:uid="{905A7335-6371-4243-B282-E78805BC4188}" name="Operator" dataDxfId="104"/>
    <tableColumn id="3" xr3:uid="{5F1550D4-1C41-402F-91A0-13A0EB08E5B9}" name="Value" dataDxfId="103"/>
  </tableColumns>
  <tableStyleInfo name="TableStyleLight9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920D7C81-FB45-4BBB-BC88-89F5EA05CA90}" name="Table728182243240485664" displayName="Table728182243240485664" ref="H8:N306" totalsRowShown="0">
  <autoFilter ref="H8:N306" xr:uid="{51F1D959-FA1C-408F-8EBB-EB57EC7988FB}"/>
  <tableColumns count="7">
    <tableColumn id="1" xr3:uid="{3C735497-6923-4DDF-B96E-43D4592C4C04}" name="BIN" dataDxfId="102"/>
    <tableColumn id="2" xr3:uid="{D14422F6-346F-45FB-AE16-EA0A8519F3AE}" name="CAID" dataDxfId="101"/>
    <tableColumn id="9" xr3:uid="{2177614C-2BFD-4AAA-9466-FE474E0ED0CB}" name="ARN" dataDxfId="100"/>
    <tableColumn id="4" xr3:uid="{D3C8C97B-E044-466E-BA6A-4314EEF09F4A}" name="MCC" dataDxfId="99"/>
    <tableColumn id="3" xr3:uid="{7004891A-4CAD-4058-A565-E70775E246C3}" name="DBA" dataDxfId="98"/>
    <tableColumn id="5" xr3:uid="{CA7B7F63-EA63-436F-99E1-EAF382A95423}" name="Merchant Name" dataDxfId="97">
      <calculatedColumnFormula>Table728182243240485664[[#This Row],[DBA]]&amp;" - "&amp;Table728182243240485664[[#This Row],[BIN]]&amp;" - "&amp;Table728182243240485664[[#This Row],[CAID]]</calculatedColumnFormula>
    </tableColumn>
    <tableColumn id="6" xr3:uid="{2C9D5ABA-31B2-47A7-A33E-070B9E57853C}" name="Merchant ID" dataDxfId="96"/>
  </tableColumns>
  <tableStyleInfo name="TableStyleMedium9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4BC3CE6E-F054-4463-81BA-781EB5562566}" name="Table14317253341495765" displayName="Table14317253341495765" ref="B14:D15" totalsRowShown="0" headerRowDxfId="95" dataDxfId="93" headerRowBorderDxfId="94">
  <tableColumns count="3">
    <tableColumn id="1" xr3:uid="{3F4C617E-D0B8-42C0-9BEE-D358696DBC62}" name="Attribute" dataDxfId="92"/>
    <tableColumn id="2" xr3:uid="{C1ECF5FB-FDFF-48BC-84E7-76F4118DC62D}" name="Operator" dataDxfId="91"/>
    <tableColumn id="3" xr3:uid="{78838E85-DCC4-4186-9115-7D05B060A34F}" name="Value" dataDxfId="90"/>
  </tableColumns>
  <tableStyleInfo name="TableStyleLight9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2B9F9E30-B957-4C55-85C7-42B11D930A5A}" name="Table145718263442505866" displayName="Table145718263442505866" ref="B19:D20" totalsRowShown="0" headerRowDxfId="89" dataDxfId="87" headerRowBorderDxfId="88">
  <tableColumns count="3">
    <tableColumn id="1" xr3:uid="{D1E52A14-3763-4DF7-A142-0696E743C82B}" name="Attribute" dataDxfId="86"/>
    <tableColumn id="2" xr3:uid="{912503CD-DB7D-4CF9-B9AD-DB2D42192031}" name="Operator" dataDxfId="85"/>
    <tableColumn id="3" xr3:uid="{0121F8C9-C0B4-4C3F-96B4-C629B516CE58}" name="Value" dataDxfId="84"/>
  </tableColumns>
  <tableStyleInfo name="TableStyleLight9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421E7189-D80C-4E2B-9381-3448C433E48D}" name="Table14561119273543515967" displayName="Table14561119273543515967" ref="B24:D25" totalsRowShown="0" headerRowDxfId="83" dataDxfId="81" headerRowBorderDxfId="82">
  <tableColumns count="3">
    <tableColumn id="1" xr3:uid="{C919530D-7C67-454A-B1A2-EC3C4EB9A963}" name="Attribute" dataDxfId="80"/>
    <tableColumn id="2" xr3:uid="{99609F95-79B6-46C4-AAFB-AA46D1DF7693}" name="Operator" dataDxfId="79"/>
    <tableColumn id="3" xr3:uid="{F61EEE19-4770-49D9-9BDB-E119703B48C5}" name="Value" dataDxfId="78"/>
  </tableColumns>
  <tableStyleInfo name="TableStyleLight9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39A82919-BEF1-4E7E-BEA6-0A826C6E5298}" name="Table145681220283644526068" displayName="Table145681220283644526068" ref="B29:D30" totalsRowShown="0" headerRowDxfId="77" dataDxfId="75" headerRowBorderDxfId="76">
  <tableColumns count="3">
    <tableColumn id="1" xr3:uid="{AA10BEB2-576A-4EDE-89FF-634EF77F2B1E}" name="Attribute" dataDxfId="74"/>
    <tableColumn id="2" xr3:uid="{4178D125-B44D-4B0F-A0BC-2887B374D729}" name="Operator" dataDxfId="73"/>
    <tableColumn id="3" xr3:uid="{3364B408-D421-41FD-B061-D17732D54907}" name="Value" dataDxfId="72"/>
  </tableColumns>
  <tableStyleInfo name="TableStyleLight9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76FACF8A-EC8D-476E-BA63-DB1BA918930B}" name="Table145689101321293745536169" displayName="Table145689101321293745536169" ref="B39:D40" totalsRowShown="0" headerRowDxfId="71" dataDxfId="69" headerRowBorderDxfId="70">
  <tableColumns count="3">
    <tableColumn id="1" xr3:uid="{1E5F118E-AF57-4D7B-98E9-5BD53DD9FA50}" name="Attribute" dataDxfId="68"/>
    <tableColumn id="2" xr3:uid="{C1C2568E-3350-412D-B698-69D36B92B27D}" name="Operator" dataDxfId="67"/>
    <tableColumn id="3" xr3:uid="{F41AAC2C-CE4D-4BF7-9575-4D8C2EA7768C}" name="Value" dataDxfId="66"/>
  </tableColumns>
  <tableStyleInfo name="TableStyleLight9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5A109F69-8380-4B91-8100-A19EBF70056F}" name="Table1456891422303846546270" displayName="Table1456891422303846546270" ref="B34:D35" totalsRowShown="0" headerRowDxfId="65" dataDxfId="63" headerRowBorderDxfId="64">
  <tableColumns count="3">
    <tableColumn id="1" xr3:uid="{73C541AD-B448-4F28-9CA3-C94AA614BD82}" name="Attribute" dataDxfId="62"/>
    <tableColumn id="2" xr3:uid="{B391DDBD-330F-4133-80FA-585A2A2AEBD4}" name="Operator" dataDxfId="61"/>
    <tableColumn id="3" xr3:uid="{6E986812-9D9E-458F-B14C-4FE4C0796A51}" name="Value" dataDxfId="60"/>
  </tableColumns>
  <tableStyleInfo name="TableStyleLight9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AC7BE1-A10C-418C-B86D-A6AC3DEE86DB}" name="Table11523313947556371" displayName="Table11523313947556371" ref="B9:D10" totalsRowShown="0" headerRowDxfId="59" headerRowBorderDxfId="58">
  <tableColumns count="3">
    <tableColumn id="1" xr3:uid="{9AC57B35-7C2E-4E3E-BCF4-FF0D2C497DD8}" name="Attribute" dataDxfId="57"/>
    <tableColumn id="2" xr3:uid="{BC88368F-7797-4835-A608-4A42415B9C42}" name="Operator" dataDxfId="56"/>
    <tableColumn id="3" xr3:uid="{4C4C6873-DAB2-436D-9A73-8BFB676B7078}" name="Value" dataDxfId="55"/>
  </tableColumns>
  <tableStyleInfo name="TableStyleLight9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FD65BBF-2ECA-4600-A203-F2799BFD38F1}" name="Table72818224324048566472" displayName="Table72818224324048566472" ref="H8:N306" totalsRowShown="0">
  <autoFilter ref="H8:N306" xr:uid="{51F1D959-FA1C-408F-8EBB-EB57EC7988FB}"/>
  <tableColumns count="7">
    <tableColumn id="1" xr3:uid="{B5BD1C23-EE3F-4D48-B973-751E86A18F60}" name="BIN" dataDxfId="54"/>
    <tableColumn id="2" xr3:uid="{0309B9CE-AF8C-46C2-86EA-8D747C54FD9B}" name="CAID" dataDxfId="53"/>
    <tableColumn id="9" xr3:uid="{957C5B51-F10E-4B4A-AE13-B7EF760755A0}" name="ARN" dataDxfId="52"/>
    <tableColumn id="4" xr3:uid="{88803E5D-5001-4221-BDDD-9D8116751BFD}" name="MCC" dataDxfId="51"/>
    <tableColumn id="3" xr3:uid="{D8B01E4C-A96D-49AC-A98E-E72E9AF07281}" name="DBA" dataDxfId="50"/>
    <tableColumn id="5" xr3:uid="{13BEF59C-040F-4509-A4C0-4A2BA9DC7116}" name="Merchant Name" dataDxfId="49">
      <calculatedColumnFormula>Table72818224324048566472[[#This Row],[DBA]]&amp;" - "&amp;Table72818224324048566472[[#This Row],[BIN]]&amp;" - "&amp;Table72818224324048566472[[#This Row],[CAID]]</calculatedColumnFormula>
    </tableColumn>
    <tableColumn id="6" xr3:uid="{A4FC8098-8B9D-4AE9-8752-711880B4EF7F}" name="Merchant ID" dataDxfId="48"/>
  </tableColumns>
  <tableStyleInfo name="TableStyleMedium9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10F8B6C3-1658-4804-8044-FE4D901A023D}" name="Table1431725334149576573" displayName="Table1431725334149576573" ref="B14:D15" totalsRowShown="0" headerRowDxfId="47" dataDxfId="45" headerRowBorderDxfId="46">
  <tableColumns count="3">
    <tableColumn id="1" xr3:uid="{3C4CFF22-063C-4AAA-B845-059B78F59829}" name="Attribute" dataDxfId="44"/>
    <tableColumn id="2" xr3:uid="{96E32162-B5A3-44F2-85C0-25734535FCFD}" name="Operator" dataDxfId="43"/>
    <tableColumn id="3" xr3:uid="{862E7F63-1971-4A71-B903-995EA4DA342B}" name="Value" dataDxfId="42"/>
  </tableColumns>
  <tableStyleInfo name="TableStyleLight9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47B50AEB-6524-4F63-A5B8-558CB8036E7B}" name="Table14571826344250586674" displayName="Table14571826344250586674" ref="B19:D20" totalsRowShown="0" headerRowDxfId="41" dataDxfId="39" headerRowBorderDxfId="40">
  <tableColumns count="3">
    <tableColumn id="1" xr3:uid="{0ECAC7A6-CC54-49E8-AD03-F26EE455D8A3}" name="Attribute" dataDxfId="38"/>
    <tableColumn id="2" xr3:uid="{28B32D9D-FD12-4B63-A522-8A5AC6CFF15D}" name="Operator" dataDxfId="37"/>
    <tableColumn id="3" xr3:uid="{9497FEC5-CD55-4C0C-B7FD-FAE0387F6FF6}" name="Value" dataDxfId="36"/>
  </tableColumns>
  <tableStyleInfo name="TableStyleLight9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45668222-F4E0-4FAC-B437-8111B829CFD8}" name="Table1456111927354351596775" displayName="Table1456111927354351596775" ref="B24:D25" totalsRowShown="0" headerRowDxfId="35" dataDxfId="33" headerRowBorderDxfId="34">
  <tableColumns count="3">
    <tableColumn id="1" xr3:uid="{E15572C9-4307-4BE1-B940-287959F4C723}" name="Attribute" dataDxfId="32"/>
    <tableColumn id="2" xr3:uid="{B4DFEEE4-4E49-4923-AADC-B6E57D2CA43A}" name="Operator" dataDxfId="31"/>
    <tableColumn id="3" xr3:uid="{A399A6BC-7B04-4A45-9724-37560B3CF0A3}" name="Value" dataDxfId="30"/>
  </tableColumns>
  <tableStyleInfo name="TableStyleLight9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3573EFBD-A62F-41AF-9242-8C7DD19448CA}" name="Table14568122028364452606876" displayName="Table14568122028364452606876" ref="B29:D30" totalsRowShown="0" headerRowDxfId="29" dataDxfId="27" headerRowBorderDxfId="28">
  <tableColumns count="3">
    <tableColumn id="1" xr3:uid="{93B26966-1703-4877-818A-75A0437271B0}" name="Attribute" dataDxfId="26"/>
    <tableColumn id="2" xr3:uid="{49AEC1F6-CD8F-403F-9976-FFA6AB36C00B}" name="Operator" dataDxfId="25"/>
    <tableColumn id="3" xr3:uid="{F25DF4BF-37F8-4370-B05C-7B6A5BF3CFA7}" name="Value" dataDxfId="24"/>
  </tableColumns>
  <tableStyleInfo name="TableStyleLight9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C63253BF-4CA7-4897-9127-39CF280469E7}" name="Table14568910132129374553616977" displayName="Table14568910132129374553616977" ref="B39:D40" totalsRowShown="0" headerRowDxfId="23" dataDxfId="21" headerRowBorderDxfId="22">
  <tableColumns count="3">
    <tableColumn id="1" xr3:uid="{74714810-C0FA-440F-9A7A-D7BD63FF0017}" name="Attribute" dataDxfId="20"/>
    <tableColumn id="2" xr3:uid="{1A98FAF4-3F72-4758-A7BD-4DC61D279FD3}" name="Operator" dataDxfId="19"/>
    <tableColumn id="3" xr3:uid="{2BDB12A6-2B5B-4A3C-B9C5-3DA5D3C7F1C0}" name="Value" dataDxfId="18"/>
  </tableColumns>
  <tableStyleInfo name="TableStyleLight9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E04654C7-3591-414B-AFA7-E0DC4D1EE98B}" name="Table145689142230384654627078" displayName="Table145689142230384654627078" ref="B34:D35" totalsRowShown="0" headerRowDxfId="17" dataDxfId="15" headerRowBorderDxfId="16">
  <tableColumns count="3">
    <tableColumn id="1" xr3:uid="{60A5662F-FCF6-4C50-81D9-8D2299B71EB8}" name="Attribute" dataDxfId="14"/>
    <tableColumn id="2" xr3:uid="{92051A7C-A75D-4A63-8DBC-7208BA2FAD7A}" name="Operator" dataDxfId="13"/>
    <tableColumn id="3" xr3:uid="{AD6EDB65-6118-4114-9D04-A2187C4A48AD}" name="Value" dataDxfId="12"/>
  </tableColumns>
  <tableStyleInfo name="TableStyleLight9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48028261-FEAF-49A1-9805-44C58F2E683A}" name="Table1152331394755637179" displayName="Table1152331394755637179" ref="B9:D10" totalsRowShown="0" headerRowDxfId="11" headerRowBorderDxfId="10">
  <tableColumns count="3">
    <tableColumn id="1" xr3:uid="{C03F0C20-B310-45D4-AAE4-1B0FC07346AE}" name="Attribute" dataDxfId="9"/>
    <tableColumn id="2" xr3:uid="{0A3D829A-8484-41CD-A269-13BA56457B35}" name="Operator" dataDxfId="8"/>
    <tableColumn id="3" xr3:uid="{00E70EBF-0B63-41DA-8015-FC363792561F}" name="Value" dataDxfId="7"/>
  </tableColumns>
  <tableStyleInfo name="TableStyleLight9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E98F128B-929B-4067-8B72-264CD6D9539A}" name="Table7281822432404856647280" displayName="Table7281822432404856647280" ref="H8:N306" totalsRowShown="0">
  <autoFilter ref="H8:N306" xr:uid="{51F1D959-FA1C-408F-8EBB-EB57EC7988FB}"/>
  <tableColumns count="7">
    <tableColumn id="1" xr3:uid="{96BE48C8-3C9D-46E9-A0D0-8CF4660B13F7}" name="BIN" dataDxfId="6"/>
    <tableColumn id="2" xr3:uid="{068A4457-169C-4F8F-9DB4-38FF0D528F06}" name="CAID" dataDxfId="5"/>
    <tableColumn id="9" xr3:uid="{323FB5B6-0504-4762-BB40-F97A8BB6970A}" name="ARN" dataDxfId="4"/>
    <tableColumn id="4" xr3:uid="{0A3DC07A-56DE-4B2E-B294-10EEFA60F161}" name="MCC" dataDxfId="3"/>
    <tableColumn id="3" xr3:uid="{932F53F7-FF20-4D67-87E7-02A8B4640DC1}" name="DBA" dataDxfId="2"/>
    <tableColumn id="5" xr3:uid="{B7C6A7A4-110E-4329-9328-D3F7291D386E}" name="Merchant Name" dataDxfId="1">
      <calculatedColumnFormula>Table7281822432404856647280[[#This Row],[DBA]]&amp;" - "&amp;Table7281822432404856647280[[#This Row],[BIN]]&amp;" - "&amp;Table7281822432404856647280[[#This Row],[CAID]]</calculatedColumnFormula>
    </tableColumn>
    <tableColumn id="6" xr3:uid="{3408C366-39B7-4A42-9547-1FA9CBE593DF}" name="Merchant ID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5.xml"/><Relationship Id="rId3" Type="http://schemas.openxmlformats.org/officeDocument/2006/relationships/table" Target="../tables/table10.xml"/><Relationship Id="rId7" Type="http://schemas.openxmlformats.org/officeDocument/2006/relationships/table" Target="../tables/table14.xml"/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13.xml"/><Relationship Id="rId5" Type="http://schemas.openxmlformats.org/officeDocument/2006/relationships/table" Target="../tables/table12.xml"/><Relationship Id="rId4" Type="http://schemas.openxmlformats.org/officeDocument/2006/relationships/table" Target="../tables/table11.xml"/><Relationship Id="rId9" Type="http://schemas.openxmlformats.org/officeDocument/2006/relationships/table" Target="../tables/table16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3.xml"/><Relationship Id="rId3" Type="http://schemas.openxmlformats.org/officeDocument/2006/relationships/table" Target="../tables/table18.xml"/><Relationship Id="rId7" Type="http://schemas.openxmlformats.org/officeDocument/2006/relationships/table" Target="../tables/table22.xml"/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21.xml"/><Relationship Id="rId5" Type="http://schemas.openxmlformats.org/officeDocument/2006/relationships/table" Target="../tables/table20.xml"/><Relationship Id="rId4" Type="http://schemas.openxmlformats.org/officeDocument/2006/relationships/table" Target="../tables/table19.xml"/><Relationship Id="rId9" Type="http://schemas.openxmlformats.org/officeDocument/2006/relationships/table" Target="../tables/table24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1.xml"/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Relationship Id="rId9" Type="http://schemas.openxmlformats.org/officeDocument/2006/relationships/table" Target="../tables/table32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9.xml"/><Relationship Id="rId3" Type="http://schemas.openxmlformats.org/officeDocument/2006/relationships/table" Target="../tables/table34.xml"/><Relationship Id="rId7" Type="http://schemas.openxmlformats.org/officeDocument/2006/relationships/table" Target="../tables/table38.xml"/><Relationship Id="rId2" Type="http://schemas.openxmlformats.org/officeDocument/2006/relationships/table" Target="../tables/table3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37.xml"/><Relationship Id="rId5" Type="http://schemas.openxmlformats.org/officeDocument/2006/relationships/table" Target="../tables/table36.xml"/><Relationship Id="rId4" Type="http://schemas.openxmlformats.org/officeDocument/2006/relationships/table" Target="../tables/table35.xml"/><Relationship Id="rId9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7.xml"/><Relationship Id="rId3" Type="http://schemas.openxmlformats.org/officeDocument/2006/relationships/table" Target="../tables/table42.xml"/><Relationship Id="rId7" Type="http://schemas.openxmlformats.org/officeDocument/2006/relationships/table" Target="../tables/table46.xml"/><Relationship Id="rId2" Type="http://schemas.openxmlformats.org/officeDocument/2006/relationships/table" Target="../tables/table41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45.xml"/><Relationship Id="rId5" Type="http://schemas.openxmlformats.org/officeDocument/2006/relationships/table" Target="../tables/table44.xml"/><Relationship Id="rId4" Type="http://schemas.openxmlformats.org/officeDocument/2006/relationships/table" Target="../tables/table43.xml"/><Relationship Id="rId9" Type="http://schemas.openxmlformats.org/officeDocument/2006/relationships/table" Target="../tables/table48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5.xml"/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Relationship Id="rId9" Type="http://schemas.openxmlformats.org/officeDocument/2006/relationships/table" Target="../tables/table56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3.xml"/><Relationship Id="rId3" Type="http://schemas.openxmlformats.org/officeDocument/2006/relationships/table" Target="../tables/table58.xml"/><Relationship Id="rId7" Type="http://schemas.openxmlformats.org/officeDocument/2006/relationships/table" Target="../tables/table62.xml"/><Relationship Id="rId2" Type="http://schemas.openxmlformats.org/officeDocument/2006/relationships/table" Target="../tables/table57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1.xml"/><Relationship Id="rId5" Type="http://schemas.openxmlformats.org/officeDocument/2006/relationships/table" Target="../tables/table60.xml"/><Relationship Id="rId4" Type="http://schemas.openxmlformats.org/officeDocument/2006/relationships/table" Target="../tables/table59.xml"/><Relationship Id="rId9" Type="http://schemas.openxmlformats.org/officeDocument/2006/relationships/table" Target="../tables/table64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1.xml"/><Relationship Id="rId3" Type="http://schemas.openxmlformats.org/officeDocument/2006/relationships/table" Target="../tables/table66.xml"/><Relationship Id="rId7" Type="http://schemas.openxmlformats.org/officeDocument/2006/relationships/table" Target="../tables/table70.xml"/><Relationship Id="rId2" Type="http://schemas.openxmlformats.org/officeDocument/2006/relationships/table" Target="../tables/table65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69.xml"/><Relationship Id="rId5" Type="http://schemas.openxmlformats.org/officeDocument/2006/relationships/table" Target="../tables/table68.xml"/><Relationship Id="rId4" Type="http://schemas.openxmlformats.org/officeDocument/2006/relationships/table" Target="../tables/table67.xml"/><Relationship Id="rId9" Type="http://schemas.openxmlformats.org/officeDocument/2006/relationships/table" Target="../tables/table72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9.xml"/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Relationship Id="rId9" Type="http://schemas.openxmlformats.org/officeDocument/2006/relationships/table" Target="../tables/table8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F4D57-9C0C-47A7-910D-E13C5FBFD952}">
  <sheetPr codeName="Sheet1"/>
  <dimension ref="A1:L38"/>
  <sheetViews>
    <sheetView topLeftCell="A10" workbookViewId="0">
      <selection activeCell="D18" sqref="D18"/>
    </sheetView>
  </sheetViews>
  <sheetFormatPr defaultColWidth="8.77734375" defaultRowHeight="13.2" x14ac:dyDescent="0.25"/>
  <cols>
    <col min="1" max="1" width="45.21875" style="31" bestFit="1" customWidth="1"/>
    <col min="2" max="2" width="145.77734375" style="31" bestFit="1" customWidth="1"/>
    <col min="3" max="16384" width="8.77734375" style="31"/>
  </cols>
  <sheetData>
    <row r="1" spans="1:12" x14ac:dyDescent="0.25">
      <c r="A1" s="108" t="s">
        <v>327</v>
      </c>
      <c r="B1" s="108"/>
    </row>
    <row r="2" spans="1:12" x14ac:dyDescent="0.25">
      <c r="A2" s="73" t="s">
        <v>328</v>
      </c>
    </row>
    <row r="3" spans="1:12" ht="13.8" thickBot="1" x14ac:dyDescent="0.3"/>
    <row r="4" spans="1:12" x14ac:dyDescent="0.25">
      <c r="A4" s="49" t="s">
        <v>263</v>
      </c>
      <c r="B4" s="50" t="s">
        <v>269</v>
      </c>
    </row>
    <row r="5" spans="1:12" x14ac:dyDescent="0.25">
      <c r="A5" s="51" t="s">
        <v>264</v>
      </c>
      <c r="B5" s="52" t="s">
        <v>270</v>
      </c>
      <c r="C5" s="32"/>
      <c r="D5" s="32"/>
      <c r="E5" s="32"/>
      <c r="F5" s="32"/>
      <c r="G5" s="32"/>
      <c r="H5" s="32"/>
      <c r="I5" s="32"/>
      <c r="J5" s="32"/>
      <c r="K5" s="32"/>
      <c r="L5" s="32"/>
    </row>
    <row r="6" spans="1:12" x14ac:dyDescent="0.25">
      <c r="A6" s="51" t="s">
        <v>268</v>
      </c>
      <c r="B6" s="52" t="s">
        <v>271</v>
      </c>
      <c r="C6" s="32"/>
      <c r="D6" s="32"/>
      <c r="E6" s="32"/>
      <c r="F6" s="32"/>
      <c r="G6" s="32"/>
      <c r="H6" s="32"/>
      <c r="I6" s="32"/>
      <c r="J6" s="32"/>
      <c r="K6" s="32"/>
      <c r="L6" s="32"/>
    </row>
    <row r="7" spans="1:12" x14ac:dyDescent="0.25">
      <c r="A7" s="51" t="s">
        <v>265</v>
      </c>
      <c r="B7" s="53" t="s">
        <v>272</v>
      </c>
      <c r="C7" s="32"/>
      <c r="D7" s="32"/>
      <c r="E7" s="32"/>
      <c r="F7" s="32"/>
      <c r="G7" s="32"/>
      <c r="H7" s="32"/>
      <c r="I7" s="32"/>
      <c r="J7" s="32"/>
      <c r="K7" s="32"/>
      <c r="L7" s="32"/>
    </row>
    <row r="8" spans="1:12" x14ac:dyDescent="0.25">
      <c r="A8" s="51" t="s">
        <v>266</v>
      </c>
      <c r="B8" s="53" t="s">
        <v>273</v>
      </c>
      <c r="C8" s="32"/>
      <c r="D8" s="32"/>
      <c r="E8" s="32"/>
      <c r="F8" s="32"/>
      <c r="G8" s="32"/>
      <c r="H8" s="32"/>
      <c r="I8" s="32"/>
      <c r="J8" s="32"/>
      <c r="K8" s="32"/>
      <c r="L8" s="32"/>
    </row>
    <row r="9" spans="1:12" ht="13.8" thickBot="1" x14ac:dyDescent="0.3">
      <c r="A9" s="54" t="s">
        <v>267</v>
      </c>
      <c r="B9" s="55" t="s">
        <v>274</v>
      </c>
      <c r="C9" s="32"/>
      <c r="D9" s="32"/>
      <c r="E9" s="32"/>
      <c r="F9" s="32"/>
      <c r="G9" s="32"/>
      <c r="H9" s="32"/>
      <c r="I9" s="32"/>
      <c r="J9" s="32"/>
      <c r="K9" s="32"/>
      <c r="L9" s="32"/>
    </row>
    <row r="10" spans="1:12" x14ac:dyDescent="0.25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</row>
    <row r="11" spans="1:12" ht="13.8" thickBot="1" x14ac:dyDescent="0.3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</row>
    <row r="12" spans="1:12" ht="13.8" thickBot="1" x14ac:dyDescent="0.3">
      <c r="A12" s="58" t="s">
        <v>275</v>
      </c>
      <c r="B12" s="59" t="s">
        <v>276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</row>
    <row r="13" spans="1:12" x14ac:dyDescent="0.25">
      <c r="A13" s="56" t="s">
        <v>277</v>
      </c>
      <c r="B13" s="57"/>
      <c r="C13" s="32"/>
      <c r="D13" s="32"/>
      <c r="E13" s="32"/>
      <c r="F13" s="32"/>
      <c r="G13" s="32"/>
      <c r="H13" s="32"/>
      <c r="I13" s="32"/>
      <c r="J13" s="32"/>
      <c r="K13" s="32"/>
      <c r="L13" s="32"/>
    </row>
    <row r="14" spans="1:12" x14ac:dyDescent="0.25">
      <c r="A14" s="44" t="s">
        <v>278</v>
      </c>
      <c r="B14" s="45"/>
      <c r="C14" s="32"/>
      <c r="D14" s="32"/>
      <c r="E14" s="32"/>
      <c r="F14" s="32"/>
      <c r="G14" s="32"/>
      <c r="H14" s="32"/>
      <c r="I14" s="32"/>
      <c r="J14" s="32"/>
      <c r="K14" s="32"/>
      <c r="L14" s="32"/>
    </row>
    <row r="15" spans="1:12" x14ac:dyDescent="0.25">
      <c r="A15" s="44" t="s">
        <v>279</v>
      </c>
      <c r="B15" s="45"/>
      <c r="C15" s="32"/>
      <c r="D15" s="32"/>
      <c r="E15" s="32"/>
      <c r="F15" s="32"/>
      <c r="G15" s="32"/>
      <c r="H15" s="32"/>
      <c r="I15" s="32"/>
      <c r="J15" s="32"/>
      <c r="K15" s="32"/>
      <c r="L15" s="32"/>
    </row>
    <row r="16" spans="1:12" x14ac:dyDescent="0.25">
      <c r="A16" s="44" t="s">
        <v>280</v>
      </c>
      <c r="B16" s="45"/>
      <c r="C16" s="32"/>
      <c r="D16" s="32"/>
      <c r="E16" s="32"/>
      <c r="F16" s="32"/>
      <c r="G16" s="32"/>
      <c r="H16" s="32"/>
      <c r="I16" s="32"/>
      <c r="J16" s="32"/>
      <c r="K16" s="32"/>
      <c r="L16" s="32"/>
    </row>
    <row r="17" spans="1:12" x14ac:dyDescent="0.25">
      <c r="A17" s="44" t="s">
        <v>281</v>
      </c>
      <c r="B17" s="45"/>
      <c r="C17" s="32"/>
      <c r="D17" s="32"/>
      <c r="E17" s="32"/>
      <c r="F17" s="32"/>
      <c r="G17" s="32"/>
      <c r="H17" s="32"/>
      <c r="I17" s="32"/>
      <c r="J17" s="32"/>
      <c r="K17" s="32"/>
      <c r="L17" s="32"/>
    </row>
    <row r="18" spans="1:12" ht="26.4" x14ac:dyDescent="0.25">
      <c r="A18" s="44" t="s">
        <v>282</v>
      </c>
      <c r="B18" s="46" t="s">
        <v>285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</row>
    <row r="19" spans="1:12" ht="26.4" x14ac:dyDescent="0.25">
      <c r="A19" s="44" t="s">
        <v>283</v>
      </c>
      <c r="B19" s="46" t="s">
        <v>286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</row>
    <row r="20" spans="1:12" ht="27" thickBot="1" x14ac:dyDescent="0.3">
      <c r="A20" s="47" t="s">
        <v>284</v>
      </c>
      <c r="B20" s="48" t="s">
        <v>287</v>
      </c>
      <c r="C20" s="32"/>
      <c r="D20" s="32"/>
      <c r="E20" s="32"/>
      <c r="F20" s="32"/>
      <c r="G20" s="32"/>
      <c r="H20" s="32"/>
      <c r="I20" s="32"/>
      <c r="J20" s="32"/>
      <c r="K20" s="32"/>
      <c r="L20" s="32"/>
    </row>
    <row r="21" spans="1:12" ht="13.8" thickBot="1" x14ac:dyDescent="0.3">
      <c r="A21" s="71"/>
      <c r="B21" s="72"/>
      <c r="C21" s="32"/>
      <c r="D21" s="32"/>
      <c r="E21" s="32"/>
      <c r="F21" s="32"/>
      <c r="G21" s="32"/>
      <c r="H21" s="32"/>
      <c r="I21" s="32"/>
      <c r="J21" s="32"/>
      <c r="K21" s="32"/>
      <c r="L21" s="32"/>
    </row>
    <row r="22" spans="1:12" x14ac:dyDescent="0.25">
      <c r="A22" s="74" t="s">
        <v>326</v>
      </c>
      <c r="B22" s="75"/>
      <c r="C22" s="32"/>
      <c r="D22" s="32"/>
      <c r="E22" s="32"/>
      <c r="F22" s="32"/>
      <c r="G22" s="32"/>
      <c r="H22" s="32"/>
      <c r="I22" s="32"/>
      <c r="J22" s="32"/>
      <c r="K22" s="32"/>
      <c r="L22" s="32"/>
    </row>
    <row r="23" spans="1:12" x14ac:dyDescent="0.25">
      <c r="A23" s="44"/>
      <c r="B23" s="46"/>
      <c r="C23" s="32"/>
      <c r="D23" s="32"/>
      <c r="E23" s="32"/>
      <c r="F23" s="32"/>
      <c r="G23" s="32"/>
      <c r="H23" s="32"/>
      <c r="I23" s="32"/>
      <c r="J23" s="32"/>
      <c r="K23" s="32"/>
      <c r="L23" s="32"/>
    </row>
    <row r="24" spans="1:12" ht="13.8" thickBot="1" x14ac:dyDescent="0.3">
      <c r="A24" s="47"/>
      <c r="B24" s="48"/>
      <c r="C24" s="32"/>
      <c r="D24" s="32"/>
      <c r="E24" s="32"/>
      <c r="F24" s="32"/>
      <c r="G24" s="32"/>
      <c r="H24" s="32"/>
      <c r="I24" s="32"/>
      <c r="J24" s="32"/>
      <c r="K24" s="32"/>
      <c r="L24" s="32"/>
    </row>
    <row r="25" spans="1:12" ht="13.8" thickBot="1" x14ac:dyDescent="0.3">
      <c r="A25" s="71"/>
      <c r="B25" s="72"/>
      <c r="C25" s="32"/>
      <c r="D25" s="32"/>
      <c r="E25" s="32"/>
      <c r="F25" s="32"/>
      <c r="G25" s="32"/>
      <c r="H25" s="32"/>
      <c r="I25" s="32"/>
      <c r="J25" s="32"/>
      <c r="K25" s="32"/>
      <c r="L25" s="32"/>
    </row>
    <row r="26" spans="1:12" x14ac:dyDescent="0.25">
      <c r="A26" s="74" t="s">
        <v>63</v>
      </c>
      <c r="B26" s="76"/>
      <c r="C26" s="32"/>
      <c r="D26" s="32"/>
      <c r="E26" s="32"/>
      <c r="F26" s="32"/>
      <c r="G26" s="32"/>
      <c r="H26" s="32"/>
      <c r="I26" s="32"/>
      <c r="J26" s="32"/>
      <c r="K26" s="32"/>
      <c r="L26" s="32"/>
    </row>
    <row r="27" spans="1:12" ht="13.8" thickBot="1" x14ac:dyDescent="0.3">
      <c r="A27" s="77"/>
      <c r="B27" s="78"/>
      <c r="C27" s="32"/>
      <c r="D27" s="32"/>
      <c r="E27" s="32"/>
      <c r="F27" s="32"/>
      <c r="G27" s="32"/>
      <c r="H27" s="32"/>
      <c r="I27" s="32"/>
      <c r="J27" s="32"/>
      <c r="K27" s="32"/>
      <c r="L27" s="32"/>
    </row>
    <row r="28" spans="1:12" ht="13.8" thickBot="1" x14ac:dyDescent="0.3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</row>
    <row r="29" spans="1:12" ht="13.8" thickBot="1" x14ac:dyDescent="0.3">
      <c r="A29" s="58" t="s">
        <v>292</v>
      </c>
      <c r="B29" s="63"/>
      <c r="C29" s="32"/>
      <c r="D29" s="32"/>
      <c r="E29" s="32"/>
      <c r="F29" s="32"/>
      <c r="G29" s="32"/>
      <c r="H29" s="32"/>
      <c r="I29" s="32"/>
      <c r="J29" s="32"/>
      <c r="K29" s="32"/>
      <c r="L29" s="32"/>
    </row>
    <row r="30" spans="1:12" x14ac:dyDescent="0.25">
      <c r="A30" s="105" t="s">
        <v>288</v>
      </c>
      <c r="B30" s="61" t="s">
        <v>289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</row>
    <row r="31" spans="1:12" x14ac:dyDescent="0.25">
      <c r="A31" s="106"/>
      <c r="B31" s="61" t="s">
        <v>290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</row>
    <row r="32" spans="1:12" ht="13.8" thickBot="1" x14ac:dyDescent="0.3">
      <c r="A32" s="107"/>
      <c r="B32" s="62" t="s">
        <v>291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</row>
    <row r="33" spans="1:12" ht="13.8" thickBot="1" x14ac:dyDescent="0.3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</row>
    <row r="34" spans="1:12" x14ac:dyDescent="0.25">
      <c r="A34" s="49" t="s">
        <v>293</v>
      </c>
      <c r="B34" s="50" t="s">
        <v>296</v>
      </c>
      <c r="C34" s="32"/>
      <c r="D34" s="32"/>
      <c r="E34" s="32"/>
      <c r="F34" s="32"/>
      <c r="G34" s="32"/>
      <c r="H34" s="32"/>
      <c r="I34" s="32"/>
      <c r="J34" s="32"/>
      <c r="K34" s="32"/>
      <c r="L34" s="32"/>
    </row>
    <row r="35" spans="1:12" ht="13.8" thickBot="1" x14ac:dyDescent="0.3">
      <c r="A35" s="54" t="s">
        <v>294</v>
      </c>
      <c r="B35" s="64" t="s">
        <v>295</v>
      </c>
      <c r="C35" s="32"/>
      <c r="D35" s="32"/>
      <c r="E35" s="32"/>
      <c r="F35" s="32"/>
      <c r="G35" s="32"/>
      <c r="H35" s="32"/>
      <c r="I35" s="32"/>
      <c r="J35" s="32"/>
      <c r="K35" s="32"/>
      <c r="L35" s="32"/>
    </row>
    <row r="36" spans="1:12" x14ac:dyDescent="0.25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</row>
    <row r="37" spans="1:12" x14ac:dyDescent="0.25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</row>
    <row r="38" spans="1:12" x14ac:dyDescent="0.25">
      <c r="B38" s="60"/>
      <c r="C38" s="32"/>
      <c r="D38" s="32"/>
      <c r="E38" s="32"/>
      <c r="F38" s="32"/>
      <c r="G38" s="32"/>
      <c r="H38" s="32"/>
      <c r="I38" s="32"/>
      <c r="J38" s="32"/>
      <c r="K38" s="32"/>
      <c r="L38" s="32"/>
    </row>
  </sheetData>
  <mergeCells count="2">
    <mergeCell ref="A30:A32"/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ABAD7-84C3-42A5-A373-96E1D6673B3E}">
  <sheetPr codeName="Sheet2"/>
  <dimension ref="A1:AJ77"/>
  <sheetViews>
    <sheetView topLeftCell="A34" workbookViewId="0">
      <selection activeCell="P35" sqref="P35"/>
    </sheetView>
  </sheetViews>
  <sheetFormatPr defaultRowHeight="13.2" x14ac:dyDescent="0.25"/>
  <sheetData>
    <row r="1" spans="1:36" ht="13.8" thickBot="1" x14ac:dyDescent="0.3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</row>
    <row r="2" spans="1:36" ht="13.8" thickBot="1" x14ac:dyDescent="0.3">
      <c r="A2" s="109" t="s">
        <v>331</v>
      </c>
      <c r="B2" s="110"/>
      <c r="C2" s="110"/>
      <c r="D2" s="110"/>
      <c r="E2" s="110"/>
      <c r="F2" s="110"/>
      <c r="G2" s="110"/>
      <c r="H2" s="110"/>
      <c r="I2" s="110"/>
      <c r="J2" s="110"/>
      <c r="K2" s="111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</row>
    <row r="3" spans="1:36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</row>
    <row r="4" spans="1:36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</row>
    <row r="5" spans="1:36" x14ac:dyDescent="0.2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</row>
    <row r="6" spans="1:36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</row>
    <row r="7" spans="1:36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</row>
    <row r="8" spans="1:36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</row>
    <row r="9" spans="1:36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</row>
    <row r="10" spans="1:36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</row>
    <row r="11" spans="1:36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</row>
    <row r="12" spans="1:36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</row>
    <row r="13" spans="1:36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</row>
    <row r="14" spans="1:36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</row>
    <row r="15" spans="1:36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</row>
    <row r="16" spans="1:36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</row>
    <row r="17" spans="1:36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</row>
    <row r="18" spans="1:36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</row>
    <row r="19" spans="1:36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</row>
    <row r="20" spans="1:36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</row>
    <row r="21" spans="1:36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</row>
    <row r="22" spans="1:36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</row>
    <row r="23" spans="1:36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</row>
    <row r="24" spans="1:36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</row>
    <row r="25" spans="1:36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</row>
    <row r="26" spans="1:36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</row>
    <row r="27" spans="1:36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</row>
    <row r="28" spans="1:36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</row>
    <row r="29" spans="1:36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</row>
    <row r="30" spans="1:36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</row>
    <row r="31" spans="1:36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</row>
    <row r="32" spans="1:36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</row>
    <row r="33" spans="1:36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</row>
    <row r="34" spans="1:36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</row>
    <row r="35" spans="1:36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</row>
    <row r="36" spans="1:36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</row>
    <row r="37" spans="1:36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</row>
    <row r="38" spans="1:36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</row>
    <row r="39" spans="1:36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</row>
    <row r="40" spans="1:36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</row>
    <row r="41" spans="1:36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</row>
    <row r="42" spans="1:36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</row>
    <row r="43" spans="1:36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</row>
    <row r="44" spans="1:36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</row>
    <row r="45" spans="1:36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</row>
    <row r="46" spans="1:36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</row>
    <row r="47" spans="1:36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</row>
    <row r="48" spans="1:36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</row>
    <row r="49" spans="1:36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</row>
    <row r="50" spans="1:36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</row>
    <row r="51" spans="1:36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</row>
    <row r="52" spans="1:36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</row>
    <row r="53" spans="1:36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</row>
    <row r="54" spans="1:36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</row>
    <row r="55" spans="1:36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</row>
    <row r="56" spans="1:36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</row>
    <row r="57" spans="1:36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</row>
    <row r="58" spans="1:36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</row>
    <row r="59" spans="1:36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</row>
    <row r="60" spans="1:36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</row>
    <row r="61" spans="1:36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</row>
    <row r="62" spans="1:36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</row>
    <row r="63" spans="1:36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</row>
    <row r="64" spans="1:36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</row>
    <row r="65" spans="1:36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</row>
    <row r="66" spans="1:36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</row>
    <row r="67" spans="1:36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</row>
    <row r="68" spans="1:36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</row>
    <row r="69" spans="1:36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</row>
    <row r="70" spans="1:36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</row>
    <row r="71" spans="1:36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</row>
    <row r="72" spans="1:36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</row>
    <row r="73" spans="1:36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</row>
    <row r="74" spans="1:36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</row>
    <row r="75" spans="1:36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</row>
    <row r="76" spans="1:36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</row>
    <row r="77" spans="1:36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</row>
  </sheetData>
  <mergeCells count="1">
    <mergeCell ref="A2:K2"/>
  </mergeCells>
  <pageMargins left="0.7" right="0.7" top="0.75" bottom="0.75" header="0.3" footer="0.3"/>
  <pageSetup orientation="portrait" horizontalDpi="300" verticalDpi="300" r:id="rId1"/>
  <drawing r:id="rId2"/>
  <legacyDrawing r:id="rId3"/>
  <oleObjects>
    <mc:AlternateContent xmlns:mc="http://schemas.openxmlformats.org/markup-compatibility/2006">
      <mc:Choice Requires="x14">
        <oleObject progId="Document" shapeId="5140" r:id="rId4">
          <objectPr defaultSize="0" r:id="rId5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11</xdr:col>
                <xdr:colOff>0</xdr:colOff>
                <xdr:row>53</xdr:row>
                <xdr:rowOff>38100</xdr:rowOff>
              </to>
            </anchor>
          </objectPr>
        </oleObject>
      </mc:Choice>
      <mc:Fallback>
        <oleObject progId="Document" shapeId="5140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86F46-ADDE-4C88-88A2-3631A934DD8F}">
  <sheetPr codeName="Sheet3"/>
  <dimension ref="A1:C118"/>
  <sheetViews>
    <sheetView workbookViewId="0">
      <selection activeCell="F5" sqref="F5"/>
    </sheetView>
  </sheetViews>
  <sheetFormatPr defaultColWidth="8.77734375" defaultRowHeight="13.2" x14ac:dyDescent="0.25"/>
  <cols>
    <col min="1" max="1" width="12" style="37" customWidth="1"/>
    <col min="2" max="2" width="12" style="37" bestFit="1" customWidth="1"/>
    <col min="3" max="3" width="14.21875" style="37" customWidth="1"/>
    <col min="4" max="16384" width="8.77734375" style="37"/>
  </cols>
  <sheetData>
    <row r="1" spans="1:3" ht="13.8" thickBot="1" x14ac:dyDescent="0.3">
      <c r="A1" s="34" t="s">
        <v>84</v>
      </c>
      <c r="B1" s="35" t="s">
        <v>85</v>
      </c>
      <c r="C1" s="36" t="s">
        <v>65</v>
      </c>
    </row>
    <row r="2" spans="1:3" x14ac:dyDescent="0.25">
      <c r="A2" s="38">
        <v>443154</v>
      </c>
      <c r="B2" s="39">
        <v>13354994334</v>
      </c>
      <c r="C2" s="40" t="s">
        <v>88</v>
      </c>
    </row>
    <row r="3" spans="1:3" x14ac:dyDescent="0.25">
      <c r="A3" s="38"/>
      <c r="B3" s="39"/>
      <c r="C3" s="40"/>
    </row>
    <row r="4" spans="1:3" x14ac:dyDescent="0.25">
      <c r="A4" s="38"/>
      <c r="B4" s="39"/>
      <c r="C4" s="40"/>
    </row>
    <row r="5" spans="1:3" x14ac:dyDescent="0.25">
      <c r="A5" s="38"/>
      <c r="B5" s="39"/>
      <c r="C5" s="40"/>
    </row>
    <row r="6" spans="1:3" x14ac:dyDescent="0.25">
      <c r="A6" s="38"/>
      <c r="B6" s="39"/>
      <c r="C6" s="40"/>
    </row>
    <row r="7" spans="1:3" x14ac:dyDescent="0.25">
      <c r="A7" s="38"/>
      <c r="B7" s="39"/>
      <c r="C7" s="40"/>
    </row>
    <row r="8" spans="1:3" x14ac:dyDescent="0.25">
      <c r="A8" s="38"/>
      <c r="B8" s="39"/>
      <c r="C8" s="40"/>
    </row>
    <row r="9" spans="1:3" x14ac:dyDescent="0.25">
      <c r="A9" s="38"/>
      <c r="B9" s="39"/>
      <c r="C9" s="40"/>
    </row>
    <row r="10" spans="1:3" x14ac:dyDescent="0.25">
      <c r="A10" s="38"/>
      <c r="B10" s="39"/>
      <c r="C10" s="40"/>
    </row>
    <row r="11" spans="1:3" x14ac:dyDescent="0.25">
      <c r="A11" s="38"/>
      <c r="B11" s="39"/>
      <c r="C11" s="40"/>
    </row>
    <row r="12" spans="1:3" x14ac:dyDescent="0.25">
      <c r="A12" s="38"/>
      <c r="B12" s="39"/>
      <c r="C12" s="40"/>
    </row>
    <row r="13" spans="1:3" x14ac:dyDescent="0.25">
      <c r="A13" s="38"/>
      <c r="B13" s="39"/>
      <c r="C13" s="40"/>
    </row>
    <row r="14" spans="1:3" x14ac:dyDescent="0.25">
      <c r="A14" s="38"/>
      <c r="B14" s="39"/>
      <c r="C14" s="40"/>
    </row>
    <row r="15" spans="1:3" x14ac:dyDescent="0.25">
      <c r="A15" s="38"/>
      <c r="B15" s="39"/>
      <c r="C15" s="40"/>
    </row>
    <row r="16" spans="1:3" x14ac:dyDescent="0.25">
      <c r="A16" s="38"/>
      <c r="B16" s="39"/>
      <c r="C16" s="40"/>
    </row>
    <row r="17" spans="1:3" x14ac:dyDescent="0.25">
      <c r="A17" s="38"/>
      <c r="B17" s="39"/>
      <c r="C17" s="40"/>
    </row>
    <row r="18" spans="1:3" x14ac:dyDescent="0.25">
      <c r="A18" s="38"/>
      <c r="B18" s="39"/>
      <c r="C18" s="40"/>
    </row>
    <row r="19" spans="1:3" x14ac:dyDescent="0.25">
      <c r="A19" s="38"/>
      <c r="B19" s="39"/>
      <c r="C19" s="40"/>
    </row>
    <row r="20" spans="1:3" x14ac:dyDescent="0.25">
      <c r="A20" s="38"/>
      <c r="B20" s="39"/>
      <c r="C20" s="40"/>
    </row>
    <row r="21" spans="1:3" x14ac:dyDescent="0.25">
      <c r="A21" s="38"/>
      <c r="B21" s="39"/>
      <c r="C21" s="40"/>
    </row>
    <row r="22" spans="1:3" x14ac:dyDescent="0.25">
      <c r="A22" s="38"/>
      <c r="B22" s="39"/>
      <c r="C22" s="40"/>
    </row>
    <row r="23" spans="1:3" x14ac:dyDescent="0.25">
      <c r="A23" s="38"/>
      <c r="B23" s="39"/>
      <c r="C23" s="40"/>
    </row>
    <row r="24" spans="1:3" x14ac:dyDescent="0.25">
      <c r="A24" s="38"/>
      <c r="B24" s="39"/>
      <c r="C24" s="40"/>
    </row>
    <row r="25" spans="1:3" x14ac:dyDescent="0.25">
      <c r="A25" s="38"/>
      <c r="B25" s="39"/>
      <c r="C25" s="40"/>
    </row>
    <row r="26" spans="1:3" x14ac:dyDescent="0.25">
      <c r="A26" s="38"/>
      <c r="B26" s="39"/>
      <c r="C26" s="40"/>
    </row>
    <row r="27" spans="1:3" x14ac:dyDescent="0.25">
      <c r="A27" s="38"/>
      <c r="B27" s="39"/>
      <c r="C27" s="40"/>
    </row>
    <row r="28" spans="1:3" x14ac:dyDescent="0.25">
      <c r="A28" s="38"/>
      <c r="B28" s="39"/>
      <c r="C28" s="40"/>
    </row>
    <row r="29" spans="1:3" x14ac:dyDescent="0.25">
      <c r="A29" s="38"/>
      <c r="B29" s="39"/>
      <c r="C29" s="40"/>
    </row>
    <row r="30" spans="1:3" x14ac:dyDescent="0.25">
      <c r="A30" s="38"/>
      <c r="B30" s="39"/>
      <c r="C30" s="40"/>
    </row>
    <row r="31" spans="1:3" x14ac:dyDescent="0.25">
      <c r="A31" s="38"/>
      <c r="B31" s="39"/>
      <c r="C31" s="40"/>
    </row>
    <row r="32" spans="1:3" x14ac:dyDescent="0.25">
      <c r="A32" s="38"/>
      <c r="B32" s="39"/>
      <c r="C32" s="40"/>
    </row>
    <row r="33" spans="1:3" x14ac:dyDescent="0.25">
      <c r="A33" s="38"/>
      <c r="B33" s="39"/>
      <c r="C33" s="40"/>
    </row>
    <row r="34" spans="1:3" x14ac:dyDescent="0.25">
      <c r="A34" s="38"/>
      <c r="B34" s="39"/>
      <c r="C34" s="40"/>
    </row>
    <row r="35" spans="1:3" x14ac:dyDescent="0.25">
      <c r="A35" s="38"/>
      <c r="B35" s="39"/>
      <c r="C35" s="40"/>
    </row>
    <row r="36" spans="1:3" x14ac:dyDescent="0.25">
      <c r="A36" s="38"/>
      <c r="B36" s="39"/>
      <c r="C36" s="40"/>
    </row>
    <row r="37" spans="1:3" x14ac:dyDescent="0.25">
      <c r="A37" s="38"/>
      <c r="B37" s="39"/>
      <c r="C37" s="40"/>
    </row>
    <row r="38" spans="1:3" x14ac:dyDescent="0.25">
      <c r="A38" s="38"/>
      <c r="B38" s="39"/>
      <c r="C38" s="40"/>
    </row>
    <row r="39" spans="1:3" x14ac:dyDescent="0.25">
      <c r="A39" s="38"/>
      <c r="B39" s="39"/>
      <c r="C39" s="40"/>
    </row>
    <row r="40" spans="1:3" x14ac:dyDescent="0.25">
      <c r="A40" s="38"/>
      <c r="B40" s="39"/>
      <c r="C40" s="40"/>
    </row>
    <row r="41" spans="1:3" x14ac:dyDescent="0.25">
      <c r="A41" s="38"/>
      <c r="B41" s="39"/>
      <c r="C41" s="40"/>
    </row>
    <row r="42" spans="1:3" x14ac:dyDescent="0.25">
      <c r="A42" s="38"/>
      <c r="B42" s="39"/>
      <c r="C42" s="40"/>
    </row>
    <row r="43" spans="1:3" x14ac:dyDescent="0.25">
      <c r="A43" s="38"/>
      <c r="B43" s="39"/>
      <c r="C43" s="40"/>
    </row>
    <row r="44" spans="1:3" x14ac:dyDescent="0.25">
      <c r="A44" s="38"/>
      <c r="B44" s="39"/>
      <c r="C44" s="40"/>
    </row>
    <row r="45" spans="1:3" x14ac:dyDescent="0.25">
      <c r="A45" s="38"/>
      <c r="B45" s="39"/>
      <c r="C45" s="40"/>
    </row>
    <row r="46" spans="1:3" x14ac:dyDescent="0.25">
      <c r="A46" s="38"/>
      <c r="B46" s="39"/>
      <c r="C46" s="40"/>
    </row>
    <row r="47" spans="1:3" x14ac:dyDescent="0.25">
      <c r="A47" s="38"/>
      <c r="B47" s="39"/>
      <c r="C47" s="40"/>
    </row>
    <row r="48" spans="1:3" x14ac:dyDescent="0.25">
      <c r="A48" s="38"/>
      <c r="B48" s="39"/>
      <c r="C48" s="40"/>
    </row>
    <row r="49" spans="1:3" x14ac:dyDescent="0.25">
      <c r="A49" s="38"/>
      <c r="B49" s="39"/>
      <c r="C49" s="40"/>
    </row>
    <row r="50" spans="1:3" x14ac:dyDescent="0.25">
      <c r="A50" s="38"/>
      <c r="B50" s="39"/>
      <c r="C50" s="40"/>
    </row>
    <row r="51" spans="1:3" x14ac:dyDescent="0.25">
      <c r="A51" s="38"/>
      <c r="B51" s="39"/>
      <c r="C51" s="40"/>
    </row>
    <row r="52" spans="1:3" x14ac:dyDescent="0.25">
      <c r="A52" s="38"/>
      <c r="B52" s="39"/>
      <c r="C52" s="40"/>
    </row>
    <row r="53" spans="1:3" x14ac:dyDescent="0.25">
      <c r="A53" s="38"/>
      <c r="B53" s="39"/>
      <c r="C53" s="40"/>
    </row>
    <row r="54" spans="1:3" x14ac:dyDescent="0.25">
      <c r="A54" s="38"/>
      <c r="B54" s="39"/>
      <c r="C54" s="40"/>
    </row>
    <row r="55" spans="1:3" x14ac:dyDescent="0.25">
      <c r="A55" s="38"/>
      <c r="B55" s="39"/>
      <c r="C55" s="40"/>
    </row>
    <row r="56" spans="1:3" x14ac:dyDescent="0.25">
      <c r="A56" s="38"/>
      <c r="B56" s="39"/>
      <c r="C56" s="40"/>
    </row>
    <row r="57" spans="1:3" x14ac:dyDescent="0.25">
      <c r="A57" s="38"/>
      <c r="B57" s="39"/>
      <c r="C57" s="40"/>
    </row>
    <row r="58" spans="1:3" x14ac:dyDescent="0.25">
      <c r="A58" s="38"/>
      <c r="B58" s="39"/>
      <c r="C58" s="40"/>
    </row>
    <row r="59" spans="1:3" x14ac:dyDescent="0.25">
      <c r="A59" s="38"/>
      <c r="B59" s="39"/>
      <c r="C59" s="40"/>
    </row>
    <row r="60" spans="1:3" x14ac:dyDescent="0.25">
      <c r="A60" s="38"/>
      <c r="B60" s="39"/>
      <c r="C60" s="40"/>
    </row>
    <row r="61" spans="1:3" x14ac:dyDescent="0.25">
      <c r="A61" s="38"/>
      <c r="B61" s="39"/>
      <c r="C61" s="40"/>
    </row>
    <row r="62" spans="1:3" x14ac:dyDescent="0.25">
      <c r="A62" s="38"/>
      <c r="B62" s="39"/>
      <c r="C62" s="40"/>
    </row>
    <row r="63" spans="1:3" x14ac:dyDescent="0.25">
      <c r="A63" s="38"/>
      <c r="B63" s="39"/>
      <c r="C63" s="40"/>
    </row>
    <row r="64" spans="1:3" x14ac:dyDescent="0.25">
      <c r="A64" s="38"/>
      <c r="B64" s="39"/>
      <c r="C64" s="40"/>
    </row>
    <row r="65" spans="1:3" x14ac:dyDescent="0.25">
      <c r="A65" s="38"/>
      <c r="B65" s="39"/>
      <c r="C65" s="40"/>
    </row>
    <row r="66" spans="1:3" x14ac:dyDescent="0.25">
      <c r="A66" s="38"/>
      <c r="B66" s="39"/>
      <c r="C66" s="40"/>
    </row>
    <row r="67" spans="1:3" x14ac:dyDescent="0.25">
      <c r="A67" s="38"/>
      <c r="B67" s="39"/>
      <c r="C67" s="40"/>
    </row>
    <row r="68" spans="1:3" x14ac:dyDescent="0.25">
      <c r="A68" s="38"/>
      <c r="B68" s="39"/>
      <c r="C68" s="40"/>
    </row>
    <row r="69" spans="1:3" x14ac:dyDescent="0.25">
      <c r="A69" s="38"/>
      <c r="B69" s="39"/>
      <c r="C69" s="40"/>
    </row>
    <row r="70" spans="1:3" x14ac:dyDescent="0.25">
      <c r="A70" s="38"/>
      <c r="B70" s="39"/>
      <c r="C70" s="40"/>
    </row>
    <row r="71" spans="1:3" x14ac:dyDescent="0.25">
      <c r="A71" s="38"/>
      <c r="B71" s="39"/>
      <c r="C71" s="40"/>
    </row>
    <row r="72" spans="1:3" x14ac:dyDescent="0.25">
      <c r="A72" s="38"/>
      <c r="B72" s="39"/>
      <c r="C72" s="40"/>
    </row>
    <row r="73" spans="1:3" x14ac:dyDescent="0.25">
      <c r="A73" s="38"/>
      <c r="B73" s="39"/>
      <c r="C73" s="40"/>
    </row>
    <row r="74" spans="1:3" x14ac:dyDescent="0.25">
      <c r="A74" s="38"/>
      <c r="B74" s="39"/>
      <c r="C74" s="40"/>
    </row>
    <row r="75" spans="1:3" x14ac:dyDescent="0.25">
      <c r="A75" s="38"/>
      <c r="B75" s="39"/>
      <c r="C75" s="40"/>
    </row>
    <row r="76" spans="1:3" x14ac:dyDescent="0.25">
      <c r="A76" s="38"/>
      <c r="B76" s="39"/>
      <c r="C76" s="40"/>
    </row>
    <row r="77" spans="1:3" x14ac:dyDescent="0.25">
      <c r="A77" s="38"/>
      <c r="B77" s="39"/>
      <c r="C77" s="40"/>
    </row>
    <row r="78" spans="1:3" x14ac:dyDescent="0.25">
      <c r="A78" s="38"/>
      <c r="B78" s="39"/>
      <c r="C78" s="40"/>
    </row>
    <row r="79" spans="1:3" x14ac:dyDescent="0.25">
      <c r="A79" s="38"/>
      <c r="B79" s="39"/>
      <c r="C79" s="40"/>
    </row>
    <row r="80" spans="1:3" x14ac:dyDescent="0.25">
      <c r="A80" s="38"/>
      <c r="B80" s="39"/>
      <c r="C80" s="40"/>
    </row>
    <row r="81" spans="1:3" x14ac:dyDescent="0.25">
      <c r="A81" s="38"/>
      <c r="B81" s="39"/>
      <c r="C81" s="40"/>
    </row>
    <row r="82" spans="1:3" x14ac:dyDescent="0.25">
      <c r="A82" s="38"/>
      <c r="B82" s="39"/>
      <c r="C82" s="40"/>
    </row>
    <row r="83" spans="1:3" x14ac:dyDescent="0.25">
      <c r="A83" s="38"/>
      <c r="B83" s="39"/>
      <c r="C83" s="40"/>
    </row>
    <row r="84" spans="1:3" x14ac:dyDescent="0.25">
      <c r="A84" s="38"/>
      <c r="B84" s="39"/>
      <c r="C84" s="40"/>
    </row>
    <row r="85" spans="1:3" x14ac:dyDescent="0.25">
      <c r="A85" s="38"/>
      <c r="B85" s="39"/>
      <c r="C85" s="40"/>
    </row>
    <row r="86" spans="1:3" x14ac:dyDescent="0.25">
      <c r="A86" s="38"/>
      <c r="B86" s="39"/>
      <c r="C86" s="40"/>
    </row>
    <row r="87" spans="1:3" x14ac:dyDescent="0.25">
      <c r="A87" s="38"/>
      <c r="B87" s="39"/>
      <c r="C87" s="40"/>
    </row>
    <row r="88" spans="1:3" x14ac:dyDescent="0.25">
      <c r="A88" s="38"/>
      <c r="B88" s="39"/>
      <c r="C88" s="40"/>
    </row>
    <row r="89" spans="1:3" x14ac:dyDescent="0.25">
      <c r="A89" s="38"/>
      <c r="B89" s="39"/>
      <c r="C89" s="40"/>
    </row>
    <row r="90" spans="1:3" x14ac:dyDescent="0.25">
      <c r="A90" s="38"/>
      <c r="B90" s="39"/>
      <c r="C90" s="40"/>
    </row>
    <row r="91" spans="1:3" x14ac:dyDescent="0.25">
      <c r="A91" s="38"/>
      <c r="B91" s="39"/>
      <c r="C91" s="40"/>
    </row>
    <row r="92" spans="1:3" x14ac:dyDescent="0.25">
      <c r="A92" s="38"/>
      <c r="B92" s="39"/>
      <c r="C92" s="40"/>
    </row>
    <row r="93" spans="1:3" x14ac:dyDescent="0.25">
      <c r="A93" s="38"/>
      <c r="B93" s="39"/>
      <c r="C93" s="40"/>
    </row>
    <row r="94" spans="1:3" x14ac:dyDescent="0.25">
      <c r="A94" s="38"/>
      <c r="B94" s="39"/>
      <c r="C94" s="40"/>
    </row>
    <row r="95" spans="1:3" x14ac:dyDescent="0.25">
      <c r="A95" s="38"/>
      <c r="B95" s="39"/>
      <c r="C95" s="40"/>
    </row>
    <row r="96" spans="1:3" x14ac:dyDescent="0.25">
      <c r="A96" s="38"/>
      <c r="B96" s="39"/>
      <c r="C96" s="40"/>
    </row>
    <row r="97" spans="1:3" x14ac:dyDescent="0.25">
      <c r="A97" s="38"/>
      <c r="B97" s="39"/>
      <c r="C97" s="40"/>
    </row>
    <row r="98" spans="1:3" x14ac:dyDescent="0.25">
      <c r="A98" s="38"/>
      <c r="B98" s="39"/>
      <c r="C98" s="40"/>
    </row>
    <row r="99" spans="1:3" x14ac:dyDescent="0.25">
      <c r="A99" s="38"/>
      <c r="B99" s="39"/>
      <c r="C99" s="40"/>
    </row>
    <row r="100" spans="1:3" x14ac:dyDescent="0.25">
      <c r="A100" s="38"/>
      <c r="B100" s="39"/>
      <c r="C100" s="40"/>
    </row>
    <row r="101" spans="1:3" x14ac:dyDescent="0.25">
      <c r="A101" s="38"/>
      <c r="B101" s="39"/>
      <c r="C101" s="40"/>
    </row>
    <row r="102" spans="1:3" x14ac:dyDescent="0.25">
      <c r="A102" s="38"/>
      <c r="B102" s="39"/>
      <c r="C102" s="40"/>
    </row>
    <row r="103" spans="1:3" x14ac:dyDescent="0.25">
      <c r="A103" s="38"/>
      <c r="B103" s="39"/>
      <c r="C103" s="40"/>
    </row>
    <row r="104" spans="1:3" x14ac:dyDescent="0.25">
      <c r="A104" s="38"/>
      <c r="B104" s="39"/>
      <c r="C104" s="40"/>
    </row>
    <row r="105" spans="1:3" x14ac:dyDescent="0.25">
      <c r="A105" s="38"/>
      <c r="B105" s="39"/>
      <c r="C105" s="40"/>
    </row>
    <row r="106" spans="1:3" x14ac:dyDescent="0.25">
      <c r="A106" s="38"/>
      <c r="B106" s="39"/>
      <c r="C106" s="40"/>
    </row>
    <row r="107" spans="1:3" x14ac:dyDescent="0.25">
      <c r="A107" s="38"/>
      <c r="B107" s="39"/>
      <c r="C107" s="40"/>
    </row>
    <row r="108" spans="1:3" x14ac:dyDescent="0.25">
      <c r="A108" s="38"/>
      <c r="B108" s="39"/>
      <c r="C108" s="40"/>
    </row>
    <row r="109" spans="1:3" x14ac:dyDescent="0.25">
      <c r="A109" s="38"/>
      <c r="B109" s="39"/>
      <c r="C109" s="40"/>
    </row>
    <row r="110" spans="1:3" x14ac:dyDescent="0.25">
      <c r="A110" s="38"/>
      <c r="B110" s="39"/>
      <c r="C110" s="40"/>
    </row>
    <row r="111" spans="1:3" x14ac:dyDescent="0.25">
      <c r="A111" s="38"/>
      <c r="B111" s="39"/>
      <c r="C111" s="40"/>
    </row>
    <row r="112" spans="1:3" x14ac:dyDescent="0.25">
      <c r="A112" s="38"/>
      <c r="B112" s="39"/>
      <c r="C112" s="40"/>
    </row>
    <row r="113" spans="1:3" x14ac:dyDescent="0.25">
      <c r="A113" s="38"/>
      <c r="B113" s="39"/>
      <c r="C113" s="40"/>
    </row>
    <row r="114" spans="1:3" x14ac:dyDescent="0.25">
      <c r="A114" s="38"/>
      <c r="B114" s="39"/>
      <c r="C114" s="40"/>
    </row>
    <row r="115" spans="1:3" ht="13.8" thickBot="1" x14ac:dyDescent="0.3">
      <c r="A115" s="41"/>
      <c r="B115" s="42"/>
      <c r="C115" s="43"/>
    </row>
    <row r="116" spans="1:3" x14ac:dyDescent="0.25">
      <c r="A116" s="39"/>
      <c r="B116" s="39"/>
      <c r="C116" s="39"/>
    </row>
    <row r="117" spans="1:3" x14ac:dyDescent="0.25">
      <c r="A117" s="39"/>
      <c r="B117" s="39"/>
      <c r="C117" s="39"/>
    </row>
    <row r="118" spans="1:3" x14ac:dyDescent="0.25">
      <c r="A118" s="39"/>
      <c r="B118" s="39"/>
      <c r="C118" s="39"/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5EAFF35-D30F-4154-AE0F-9305ED8B9EB1}">
          <x14:formula1>
            <xm:f>Lists3!$R$4:$R$13</xm:f>
          </x14:formula1>
          <xm:sqref>C2:C116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3F189-86E0-4C75-A957-79606B86FF08}">
  <sheetPr codeName="Sheet4"/>
  <dimension ref="B1:O306"/>
  <sheetViews>
    <sheetView showGridLines="0" tabSelected="1" workbookViewId="0">
      <selection activeCell="C2" sqref="C2:D2"/>
    </sheetView>
  </sheetViews>
  <sheetFormatPr defaultColWidth="8.77734375" defaultRowHeight="13.2" x14ac:dyDescent="0.25"/>
  <cols>
    <col min="1" max="1" width="2.21875" style="3" customWidth="1"/>
    <col min="2" max="2" width="24.77734375" style="3" bestFit="1" customWidth="1"/>
    <col min="3" max="3" width="22.77734375" style="3" customWidth="1"/>
    <col min="4" max="4" width="41.21875" style="3" bestFit="1" customWidth="1"/>
    <col min="5" max="5" width="13.21875" style="3" customWidth="1"/>
    <col min="6" max="6" width="8.77734375" style="3"/>
    <col min="7" max="7" width="14.44140625" style="3" customWidth="1"/>
    <col min="8" max="8" width="10.21875" style="3" customWidth="1"/>
    <col min="9" max="10" width="25.21875" style="3" customWidth="1"/>
    <col min="11" max="11" width="12.44140625" style="3" bestFit="1" customWidth="1"/>
    <col min="12" max="12" width="12.44140625" style="3" customWidth="1"/>
    <col min="13" max="13" width="34" style="3" bestFit="1" customWidth="1"/>
    <col min="14" max="14" width="28" style="3" customWidth="1"/>
    <col min="15" max="15" width="14.21875" style="3" bestFit="1" customWidth="1"/>
    <col min="16" max="16384" width="8.77734375" style="3"/>
  </cols>
  <sheetData>
    <row r="1" spans="2:15" ht="13.8" thickBot="1" x14ac:dyDescent="0.3"/>
    <row r="2" spans="2:15" ht="13.8" thickBot="1" x14ac:dyDescent="0.3">
      <c r="B2" s="100" t="s">
        <v>345</v>
      </c>
      <c r="C2" s="116" t="s">
        <v>347</v>
      </c>
      <c r="D2" s="117"/>
      <c r="I2" s="95"/>
      <c r="J2" s="95"/>
    </row>
    <row r="3" spans="2:15" ht="13.8" thickBot="1" x14ac:dyDescent="0.3">
      <c r="B3" s="101" t="s">
        <v>344</v>
      </c>
      <c r="C3" s="116">
        <v>11600</v>
      </c>
      <c r="D3" s="117"/>
      <c r="I3" s="95"/>
      <c r="J3" s="95"/>
    </row>
    <row r="4" spans="2:15" ht="13.8" thickBot="1" x14ac:dyDescent="0.3">
      <c r="B4" s="100" t="s">
        <v>332</v>
      </c>
      <c r="C4" s="112"/>
      <c r="D4" s="112"/>
      <c r="I4" s="95"/>
      <c r="J4" s="95"/>
    </row>
    <row r="5" spans="2:15" ht="13.8" thickBot="1" x14ac:dyDescent="0.3">
      <c r="B5" s="101" t="s">
        <v>343</v>
      </c>
      <c r="C5" s="102"/>
      <c r="D5" s="103"/>
      <c r="I5" s="95"/>
      <c r="J5" s="95"/>
    </row>
    <row r="6" spans="2:15" ht="13.8" thickBot="1" x14ac:dyDescent="0.3">
      <c r="B6" s="100" t="s">
        <v>334</v>
      </c>
      <c r="C6" s="112"/>
      <c r="D6" s="112"/>
      <c r="H6" s="113" t="s">
        <v>330</v>
      </c>
      <c r="I6" s="114"/>
      <c r="J6" s="114"/>
      <c r="K6" s="114"/>
      <c r="L6" s="114"/>
      <c r="M6" s="114"/>
      <c r="N6" s="114"/>
      <c r="O6" s="115"/>
    </row>
    <row r="7" spans="2:15" x14ac:dyDescent="0.25">
      <c r="B7" s="87"/>
      <c r="C7" s="87"/>
    </row>
    <row r="8" spans="2:15" ht="13.8" thickBot="1" x14ac:dyDescent="0.3">
      <c r="C8" s="13"/>
      <c r="H8" s="13" t="s">
        <v>84</v>
      </c>
      <c r="I8" s="13" t="s">
        <v>85</v>
      </c>
      <c r="J8" s="88" t="s">
        <v>342</v>
      </c>
      <c r="K8" s="88" t="s">
        <v>339</v>
      </c>
      <c r="L8" s="88" t="s">
        <v>333</v>
      </c>
      <c r="M8" s="93" t="s">
        <v>340</v>
      </c>
      <c r="N8" s="94" t="s">
        <v>341</v>
      </c>
    </row>
    <row r="9" spans="2:15" ht="18.75" customHeight="1" thickBot="1" x14ac:dyDescent="0.3">
      <c r="B9" s="80" t="s">
        <v>329</v>
      </c>
      <c r="C9" s="81" t="s">
        <v>64</v>
      </c>
      <c r="D9" s="82" t="s">
        <v>63</v>
      </c>
      <c r="H9" s="96"/>
      <c r="I9" s="96"/>
      <c r="J9" s="98"/>
      <c r="K9" s="99"/>
      <c r="L9" s="99"/>
      <c r="M9" s="90" t="str">
        <f>Table728182[[#This Row],[DBA]]&amp;" - "&amp;Table728182[[#This Row],[BIN]]&amp;" - "&amp;Table728182[[#This Row],[CAID]]</f>
        <v xml:space="preserve"> -  - </v>
      </c>
      <c r="N9" s="90"/>
    </row>
    <row r="10" spans="2:15" ht="13.8" thickBot="1" x14ac:dyDescent="0.3">
      <c r="B10" s="83"/>
      <c r="C10" s="84"/>
      <c r="D10" s="83"/>
      <c r="H10" s="91"/>
      <c r="I10" s="91"/>
      <c r="J10" s="97"/>
      <c r="K10" s="79"/>
      <c r="L10" s="79"/>
      <c r="M10" s="79" t="str">
        <f>Table728182[[#This Row],[DBA]]&amp;" - "&amp;Table728182[[#This Row],[BIN]]&amp;" - "&amp;Table728182[[#This Row],[CAID]]</f>
        <v xml:space="preserve"> -  - </v>
      </c>
      <c r="N10" s="90"/>
    </row>
    <row r="11" spans="2:15" x14ac:dyDescent="0.25">
      <c r="B11" s="85"/>
      <c r="C11" s="86"/>
      <c r="D11" s="85"/>
      <c r="H11" s="91"/>
      <c r="I11" s="91"/>
      <c r="J11" s="97"/>
      <c r="K11" s="79"/>
      <c r="L11" s="79"/>
      <c r="M11" s="79" t="str">
        <f>Table728182[[#This Row],[DBA]]&amp;" - "&amp;Table728182[[#This Row],[BIN]]&amp;" - "&amp;Table728182[[#This Row],[CAID]]</f>
        <v xml:space="preserve"> -  - </v>
      </c>
      <c r="N11" s="90"/>
    </row>
    <row r="12" spans="2:15" x14ac:dyDescent="0.25">
      <c r="C12" s="30" t="s">
        <v>83</v>
      </c>
      <c r="H12" s="91"/>
      <c r="I12" s="91"/>
      <c r="J12" s="97"/>
      <c r="K12" s="79"/>
      <c r="L12" s="79"/>
      <c r="M12" s="79" t="str">
        <f>Table728182[[#This Row],[DBA]]&amp;" - "&amp;Table728182[[#This Row],[BIN]]&amp;" - "&amp;Table728182[[#This Row],[CAID]]</f>
        <v xml:space="preserve"> -  - </v>
      </c>
      <c r="N12" s="90"/>
    </row>
    <row r="13" spans="2:15" ht="13.8" thickBot="1" x14ac:dyDescent="0.3">
      <c r="C13" s="29"/>
      <c r="H13" s="91"/>
      <c r="I13" s="91"/>
      <c r="J13" s="97"/>
      <c r="K13" s="79"/>
      <c r="L13" s="79"/>
      <c r="M13" s="79" t="str">
        <f>Table728182[[#This Row],[DBA]]&amp;" - "&amp;Table728182[[#This Row],[BIN]]&amp;" - "&amp;Table728182[[#This Row],[CAID]]</f>
        <v xml:space="preserve"> -  - </v>
      </c>
      <c r="N13" s="90"/>
    </row>
    <row r="14" spans="2:15" ht="13.8" thickBot="1" x14ac:dyDescent="0.3">
      <c r="B14" s="80" t="s">
        <v>329</v>
      </c>
      <c r="C14" s="81" t="s">
        <v>64</v>
      </c>
      <c r="D14" s="82" t="s">
        <v>63</v>
      </c>
      <c r="H14" s="91"/>
      <c r="I14" s="91"/>
      <c r="J14" s="97"/>
      <c r="K14" s="79"/>
      <c r="L14" s="79"/>
      <c r="M14" s="79" t="str">
        <f>Table728182[[#This Row],[DBA]]&amp;" - "&amp;Table728182[[#This Row],[BIN]]&amp;" - "&amp;Table728182[[#This Row],[CAID]]</f>
        <v xml:space="preserve"> -  - </v>
      </c>
      <c r="N14" s="90"/>
    </row>
    <row r="15" spans="2:15" ht="13.8" thickBot="1" x14ac:dyDescent="0.3">
      <c r="B15" s="83"/>
      <c r="C15" s="84"/>
      <c r="D15" s="83"/>
      <c r="H15" s="91"/>
      <c r="I15" s="91"/>
      <c r="J15" s="97"/>
      <c r="K15" s="79"/>
      <c r="L15" s="79"/>
      <c r="M15" s="79" t="str">
        <f>Table728182[[#This Row],[DBA]]&amp;" - "&amp;Table728182[[#This Row],[BIN]]&amp;" - "&amp;Table728182[[#This Row],[CAID]]</f>
        <v xml:space="preserve"> -  - </v>
      </c>
      <c r="N15" s="90"/>
    </row>
    <row r="16" spans="2:15" x14ac:dyDescent="0.25">
      <c r="H16" s="91"/>
      <c r="I16" s="91"/>
      <c r="J16" s="97"/>
      <c r="K16" s="79"/>
      <c r="L16" s="79"/>
      <c r="M16" s="79" t="str">
        <f>Table728182[[#This Row],[DBA]]&amp;" - "&amp;Table728182[[#This Row],[BIN]]&amp;" - "&amp;Table728182[[#This Row],[CAID]]</f>
        <v xml:space="preserve"> -  - </v>
      </c>
      <c r="N16" s="90"/>
    </row>
    <row r="17" spans="2:14" x14ac:dyDescent="0.25">
      <c r="C17" s="30" t="s">
        <v>83</v>
      </c>
      <c r="H17" s="91"/>
      <c r="I17" s="91"/>
      <c r="J17" s="97"/>
      <c r="K17" s="79"/>
      <c r="L17" s="79"/>
      <c r="M17" s="79" t="str">
        <f>Table728182[[#This Row],[DBA]]&amp;" - "&amp;Table728182[[#This Row],[BIN]]&amp;" - "&amp;Table728182[[#This Row],[CAID]]</f>
        <v xml:space="preserve"> -  - </v>
      </c>
      <c r="N17" s="90"/>
    </row>
    <row r="18" spans="2:14" ht="13.8" thickBot="1" x14ac:dyDescent="0.3">
      <c r="C18" s="29"/>
      <c r="H18" s="91"/>
      <c r="I18" s="91"/>
      <c r="J18" s="97"/>
      <c r="K18" s="79"/>
      <c r="L18" s="79"/>
      <c r="M18" s="79" t="str">
        <f>Table728182[[#This Row],[DBA]]&amp;" - "&amp;Table728182[[#This Row],[BIN]]&amp;" - "&amp;Table728182[[#This Row],[CAID]]</f>
        <v xml:space="preserve"> -  - </v>
      </c>
      <c r="N18" s="90"/>
    </row>
    <row r="19" spans="2:14" ht="13.8" thickBot="1" x14ac:dyDescent="0.3">
      <c r="B19" s="80" t="s">
        <v>329</v>
      </c>
      <c r="C19" s="81" t="s">
        <v>64</v>
      </c>
      <c r="D19" s="82" t="s">
        <v>63</v>
      </c>
      <c r="H19" s="91"/>
      <c r="I19" s="91"/>
      <c r="J19" s="97"/>
      <c r="K19" s="79"/>
      <c r="L19" s="79"/>
      <c r="M19" s="79" t="str">
        <f>Table728182[[#This Row],[DBA]]&amp;" - "&amp;Table728182[[#This Row],[BIN]]&amp;" - "&amp;Table728182[[#This Row],[CAID]]</f>
        <v xml:space="preserve"> -  - </v>
      </c>
      <c r="N19" s="90"/>
    </row>
    <row r="20" spans="2:14" ht="13.8" thickBot="1" x14ac:dyDescent="0.3">
      <c r="B20" s="83"/>
      <c r="C20" s="84"/>
      <c r="D20" s="83"/>
      <c r="H20" s="91"/>
      <c r="I20" s="91"/>
      <c r="J20" s="97"/>
      <c r="K20" s="79"/>
      <c r="L20" s="79"/>
      <c r="M20" s="79" t="str">
        <f>Table728182[[#This Row],[DBA]]&amp;" - "&amp;Table728182[[#This Row],[BIN]]&amp;" - "&amp;Table728182[[#This Row],[CAID]]</f>
        <v xml:space="preserve"> -  - </v>
      </c>
      <c r="N20" s="90"/>
    </row>
    <row r="21" spans="2:14" x14ac:dyDescent="0.25">
      <c r="H21" s="91"/>
      <c r="I21" s="91"/>
      <c r="J21" s="97"/>
      <c r="K21" s="79"/>
      <c r="L21" s="79"/>
      <c r="M21" s="79" t="str">
        <f>Table728182[[#This Row],[DBA]]&amp;" - "&amp;Table728182[[#This Row],[BIN]]&amp;" - "&amp;Table728182[[#This Row],[CAID]]</f>
        <v xml:space="preserve"> -  - </v>
      </c>
      <c r="N21" s="90"/>
    </row>
    <row r="22" spans="2:14" x14ac:dyDescent="0.25">
      <c r="C22" s="30" t="s">
        <v>83</v>
      </c>
      <c r="H22" s="91"/>
      <c r="I22" s="91"/>
      <c r="J22" s="97"/>
      <c r="K22" s="79"/>
      <c r="L22" s="79"/>
      <c r="M22" s="79" t="str">
        <f>Table728182[[#This Row],[DBA]]&amp;" - "&amp;Table728182[[#This Row],[BIN]]&amp;" - "&amp;Table728182[[#This Row],[CAID]]</f>
        <v xml:space="preserve"> -  - </v>
      </c>
      <c r="N22" s="90"/>
    </row>
    <row r="23" spans="2:14" ht="13.8" thickBot="1" x14ac:dyDescent="0.3">
      <c r="C23" s="29"/>
      <c r="H23" s="91"/>
      <c r="I23" s="91"/>
      <c r="J23" s="97"/>
      <c r="K23" s="79"/>
      <c r="L23" s="79"/>
      <c r="M23" s="79" t="str">
        <f>Table728182[[#This Row],[DBA]]&amp;" - "&amp;Table728182[[#This Row],[BIN]]&amp;" - "&amp;Table728182[[#This Row],[CAID]]</f>
        <v xml:space="preserve"> -  - </v>
      </c>
      <c r="N23" s="90"/>
    </row>
    <row r="24" spans="2:14" ht="13.8" thickBot="1" x14ac:dyDescent="0.3">
      <c r="B24" s="80" t="s">
        <v>329</v>
      </c>
      <c r="C24" s="81" t="s">
        <v>64</v>
      </c>
      <c r="D24" s="82" t="s">
        <v>63</v>
      </c>
      <c r="H24" s="91"/>
      <c r="I24" s="91"/>
      <c r="J24" s="97"/>
      <c r="K24" s="79"/>
      <c r="L24" s="79"/>
      <c r="M24" s="79" t="str">
        <f>Table728182[[#This Row],[DBA]]&amp;" - "&amp;Table728182[[#This Row],[BIN]]&amp;" - "&amp;Table728182[[#This Row],[CAID]]</f>
        <v xml:space="preserve"> -  - </v>
      </c>
      <c r="N24" s="90"/>
    </row>
    <row r="25" spans="2:14" ht="13.8" thickBot="1" x14ac:dyDescent="0.3">
      <c r="B25" s="83"/>
      <c r="C25" s="84"/>
      <c r="D25" s="83"/>
      <c r="H25" s="91"/>
      <c r="I25" s="91"/>
      <c r="J25" s="97"/>
      <c r="K25" s="79"/>
      <c r="L25" s="79"/>
      <c r="M25" s="79" t="str">
        <f>Table728182[[#This Row],[DBA]]&amp;" - "&amp;Table728182[[#This Row],[BIN]]&amp;" - "&amp;Table728182[[#This Row],[CAID]]</f>
        <v xml:space="preserve"> -  - </v>
      </c>
      <c r="N25" s="90"/>
    </row>
    <row r="26" spans="2:14" x14ac:dyDescent="0.25">
      <c r="H26" s="91"/>
      <c r="I26" s="91"/>
      <c r="J26" s="97"/>
      <c r="K26" s="79"/>
      <c r="L26" s="79"/>
      <c r="M26" s="79" t="str">
        <f>Table728182[[#This Row],[DBA]]&amp;" - "&amp;Table728182[[#This Row],[BIN]]&amp;" - "&amp;Table728182[[#This Row],[CAID]]</f>
        <v xml:space="preserve"> -  - </v>
      </c>
      <c r="N26" s="90"/>
    </row>
    <row r="27" spans="2:14" x14ac:dyDescent="0.25">
      <c r="C27" s="30" t="s">
        <v>83</v>
      </c>
      <c r="H27" s="91"/>
      <c r="I27" s="91"/>
      <c r="J27" s="97"/>
      <c r="K27" s="79"/>
      <c r="L27" s="79"/>
      <c r="M27" s="79" t="str">
        <f>Table728182[[#This Row],[DBA]]&amp;" - "&amp;Table728182[[#This Row],[BIN]]&amp;" - "&amp;Table728182[[#This Row],[CAID]]</f>
        <v xml:space="preserve"> -  - </v>
      </c>
      <c r="N27" s="90"/>
    </row>
    <row r="28" spans="2:14" ht="13.8" thickBot="1" x14ac:dyDescent="0.3">
      <c r="C28" s="29"/>
      <c r="H28" s="91"/>
      <c r="I28" s="91"/>
      <c r="J28" s="97"/>
      <c r="K28" s="79"/>
      <c r="L28" s="79"/>
      <c r="M28" s="79" t="str">
        <f>Table728182[[#This Row],[DBA]]&amp;" - "&amp;Table728182[[#This Row],[BIN]]&amp;" - "&amp;Table728182[[#This Row],[CAID]]</f>
        <v xml:space="preserve"> -  - </v>
      </c>
      <c r="N28" s="90"/>
    </row>
    <row r="29" spans="2:14" ht="13.8" thickBot="1" x14ac:dyDescent="0.3">
      <c r="B29" s="80" t="s">
        <v>329</v>
      </c>
      <c r="C29" s="81" t="s">
        <v>64</v>
      </c>
      <c r="D29" s="82" t="s">
        <v>63</v>
      </c>
      <c r="H29" s="91"/>
      <c r="I29" s="91"/>
      <c r="J29" s="97"/>
      <c r="K29" s="79"/>
      <c r="L29" s="79"/>
      <c r="M29" s="79" t="str">
        <f>Table728182[[#This Row],[DBA]]&amp;" - "&amp;Table728182[[#This Row],[BIN]]&amp;" - "&amp;Table728182[[#This Row],[CAID]]</f>
        <v xml:space="preserve"> -  - </v>
      </c>
      <c r="N29" s="90"/>
    </row>
    <row r="30" spans="2:14" ht="13.8" thickBot="1" x14ac:dyDescent="0.3">
      <c r="B30" s="83"/>
      <c r="C30" s="84"/>
      <c r="D30" s="83"/>
      <c r="H30" s="91"/>
      <c r="I30" s="91"/>
      <c r="J30" s="97"/>
      <c r="K30" s="79"/>
      <c r="L30" s="79"/>
      <c r="M30" s="79" t="str">
        <f>Table728182[[#This Row],[DBA]]&amp;" - "&amp;Table728182[[#This Row],[BIN]]&amp;" - "&amp;Table728182[[#This Row],[CAID]]</f>
        <v xml:space="preserve"> -  - </v>
      </c>
      <c r="N30" s="90"/>
    </row>
    <row r="31" spans="2:14" x14ac:dyDescent="0.25">
      <c r="H31" s="91"/>
      <c r="I31" s="91"/>
      <c r="J31" s="97"/>
      <c r="K31" s="79"/>
      <c r="L31" s="79"/>
      <c r="M31" s="79" t="str">
        <f>Table728182[[#This Row],[DBA]]&amp;" - "&amp;Table728182[[#This Row],[BIN]]&amp;" - "&amp;Table728182[[#This Row],[CAID]]</f>
        <v xml:space="preserve"> -  - </v>
      </c>
      <c r="N31" s="90"/>
    </row>
    <row r="32" spans="2:14" x14ac:dyDescent="0.25">
      <c r="C32" s="30" t="s">
        <v>83</v>
      </c>
      <c r="H32" s="91"/>
      <c r="I32" s="91"/>
      <c r="J32" s="97"/>
      <c r="K32" s="79"/>
      <c r="L32" s="79"/>
      <c r="M32" s="79" t="str">
        <f>Table728182[[#This Row],[DBA]]&amp;" - "&amp;Table728182[[#This Row],[BIN]]&amp;" - "&amp;Table728182[[#This Row],[CAID]]</f>
        <v xml:space="preserve"> -  - </v>
      </c>
      <c r="N32" s="90"/>
    </row>
    <row r="33" spans="2:14" ht="13.8" thickBot="1" x14ac:dyDescent="0.3">
      <c r="C33" s="29"/>
      <c r="H33" s="91"/>
      <c r="I33" s="91"/>
      <c r="J33" s="97"/>
      <c r="K33" s="79"/>
      <c r="L33" s="79"/>
      <c r="M33" s="79" t="str">
        <f>Table728182[[#This Row],[DBA]]&amp;" - "&amp;Table728182[[#This Row],[BIN]]&amp;" - "&amp;Table728182[[#This Row],[CAID]]</f>
        <v xml:space="preserve"> -  - </v>
      </c>
      <c r="N33" s="90"/>
    </row>
    <row r="34" spans="2:14" ht="13.8" thickBot="1" x14ac:dyDescent="0.3">
      <c r="B34" s="80" t="s">
        <v>329</v>
      </c>
      <c r="C34" s="81" t="s">
        <v>64</v>
      </c>
      <c r="D34" s="82" t="s">
        <v>63</v>
      </c>
      <c r="H34" s="91"/>
      <c r="I34" s="91"/>
      <c r="J34" s="97"/>
      <c r="K34" s="79"/>
      <c r="L34" s="79"/>
      <c r="M34" s="79" t="str">
        <f>Table728182[[#This Row],[DBA]]&amp;" - "&amp;Table728182[[#This Row],[BIN]]&amp;" - "&amp;Table728182[[#This Row],[CAID]]</f>
        <v xml:space="preserve"> -  - </v>
      </c>
      <c r="N34" s="90"/>
    </row>
    <row r="35" spans="2:14" ht="13.8" thickBot="1" x14ac:dyDescent="0.3">
      <c r="B35" s="83"/>
      <c r="C35" s="84"/>
      <c r="D35" s="83"/>
      <c r="H35" s="91"/>
      <c r="I35" s="91"/>
      <c r="J35" s="97"/>
      <c r="K35" s="79"/>
      <c r="L35" s="79"/>
      <c r="M35" s="79" t="str">
        <f>Table728182[[#This Row],[DBA]]&amp;" - "&amp;Table728182[[#This Row],[BIN]]&amp;" - "&amp;Table728182[[#This Row],[CAID]]</f>
        <v xml:space="preserve"> -  - </v>
      </c>
      <c r="N35" s="90"/>
    </row>
    <row r="36" spans="2:14" x14ac:dyDescent="0.25">
      <c r="H36" s="91"/>
      <c r="I36" s="91"/>
      <c r="J36" s="97"/>
      <c r="K36" s="79"/>
      <c r="L36" s="79"/>
      <c r="M36" s="79" t="str">
        <f>Table728182[[#This Row],[DBA]]&amp;" - "&amp;Table728182[[#This Row],[BIN]]&amp;" - "&amp;Table728182[[#This Row],[CAID]]</f>
        <v xml:space="preserve"> -  - </v>
      </c>
      <c r="N36" s="90"/>
    </row>
    <row r="37" spans="2:14" x14ac:dyDescent="0.25">
      <c r="C37" s="30" t="s">
        <v>83</v>
      </c>
      <c r="H37" s="91"/>
      <c r="I37" s="91"/>
      <c r="J37" s="97"/>
      <c r="K37" s="79"/>
      <c r="L37" s="79"/>
      <c r="M37" s="79" t="str">
        <f>Table728182[[#This Row],[DBA]]&amp;" - "&amp;Table728182[[#This Row],[BIN]]&amp;" - "&amp;Table728182[[#This Row],[CAID]]</f>
        <v xml:space="preserve"> -  - </v>
      </c>
      <c r="N37" s="90"/>
    </row>
    <row r="38" spans="2:14" ht="13.8" thickBot="1" x14ac:dyDescent="0.3">
      <c r="C38" s="29"/>
      <c r="H38" s="91"/>
      <c r="I38" s="91"/>
      <c r="J38" s="97"/>
      <c r="K38" s="79"/>
      <c r="L38" s="79"/>
      <c r="M38" s="79" t="str">
        <f>Table728182[[#This Row],[DBA]]&amp;" - "&amp;Table728182[[#This Row],[BIN]]&amp;" - "&amp;Table728182[[#This Row],[CAID]]</f>
        <v xml:space="preserve"> -  - </v>
      </c>
      <c r="N38" s="90"/>
    </row>
    <row r="39" spans="2:14" ht="13.8" thickBot="1" x14ac:dyDescent="0.3">
      <c r="B39" s="80" t="s">
        <v>329</v>
      </c>
      <c r="C39" s="81" t="s">
        <v>64</v>
      </c>
      <c r="D39" s="82" t="s">
        <v>63</v>
      </c>
      <c r="H39" s="91"/>
      <c r="I39" s="91"/>
      <c r="J39" s="97"/>
      <c r="K39" s="79"/>
      <c r="L39" s="79"/>
      <c r="M39" s="79" t="str">
        <f>Table728182[[#This Row],[DBA]]&amp;" - "&amp;Table728182[[#This Row],[BIN]]&amp;" - "&amp;Table728182[[#This Row],[CAID]]</f>
        <v xml:space="preserve"> -  - </v>
      </c>
      <c r="N39" s="90"/>
    </row>
    <row r="40" spans="2:14" ht="13.8" thickBot="1" x14ac:dyDescent="0.3">
      <c r="B40" s="83"/>
      <c r="C40" s="84"/>
      <c r="D40" s="83"/>
      <c r="H40" s="91"/>
      <c r="I40" s="91"/>
      <c r="J40" s="97"/>
      <c r="K40" s="89"/>
      <c r="L40" s="89"/>
      <c r="M40" s="79" t="str">
        <f>Table728182[[#This Row],[DBA]]&amp;" - "&amp;Table728182[[#This Row],[BIN]]&amp;" - "&amp;Table728182[[#This Row],[CAID]]</f>
        <v xml:space="preserve"> -  - </v>
      </c>
      <c r="N40" s="90"/>
    </row>
    <row r="41" spans="2:14" x14ac:dyDescent="0.25">
      <c r="H41" s="91"/>
      <c r="I41" s="91"/>
      <c r="J41" s="97"/>
      <c r="K41" s="79"/>
      <c r="L41" s="79"/>
      <c r="M41" s="79" t="str">
        <f>Table728182[[#This Row],[DBA]]&amp;" - "&amp;Table728182[[#This Row],[BIN]]&amp;" - "&amp;Table728182[[#This Row],[CAID]]</f>
        <v xml:space="preserve"> -  - </v>
      </c>
      <c r="N41" s="90"/>
    </row>
    <row r="42" spans="2:14" x14ac:dyDescent="0.25">
      <c r="H42" s="91"/>
      <c r="I42" s="91"/>
      <c r="J42" s="97"/>
      <c r="K42" s="79"/>
      <c r="L42" s="79"/>
      <c r="M42" s="79" t="str">
        <f>Table728182[[#This Row],[DBA]]&amp;" - "&amp;Table728182[[#This Row],[BIN]]&amp;" - "&amp;Table728182[[#This Row],[CAID]]</f>
        <v xml:space="preserve"> -  - </v>
      </c>
      <c r="N42" s="90"/>
    </row>
    <row r="43" spans="2:14" x14ac:dyDescent="0.25">
      <c r="H43" s="91"/>
      <c r="I43" s="91"/>
      <c r="J43" s="97"/>
      <c r="K43" s="79"/>
      <c r="L43" s="79"/>
      <c r="M43" s="79" t="str">
        <f>Table728182[[#This Row],[DBA]]&amp;" - "&amp;Table728182[[#This Row],[BIN]]&amp;" - "&amp;Table728182[[#This Row],[CAID]]</f>
        <v xml:space="preserve"> -  - </v>
      </c>
      <c r="N43" s="90"/>
    </row>
    <row r="44" spans="2:14" x14ac:dyDescent="0.25">
      <c r="H44" s="91"/>
      <c r="I44" s="91"/>
      <c r="J44" s="97"/>
      <c r="K44" s="79"/>
      <c r="L44" s="79"/>
      <c r="M44" s="79" t="str">
        <f>Table728182[[#This Row],[DBA]]&amp;" - "&amp;Table728182[[#This Row],[BIN]]&amp;" - "&amp;Table728182[[#This Row],[CAID]]</f>
        <v xml:space="preserve"> -  - </v>
      </c>
      <c r="N44" s="90"/>
    </row>
    <row r="45" spans="2:14" x14ac:dyDescent="0.25">
      <c r="H45" s="91"/>
      <c r="I45" s="91"/>
      <c r="J45" s="97"/>
      <c r="K45" s="79"/>
      <c r="L45" s="79"/>
      <c r="M45" s="79" t="str">
        <f>Table728182[[#This Row],[DBA]]&amp;" - "&amp;Table728182[[#This Row],[BIN]]&amp;" - "&amp;Table728182[[#This Row],[CAID]]</f>
        <v xml:space="preserve"> -  - </v>
      </c>
      <c r="N45" s="90"/>
    </row>
    <row r="46" spans="2:14" x14ac:dyDescent="0.25">
      <c r="H46" s="91"/>
      <c r="I46" s="91"/>
      <c r="J46" s="97"/>
      <c r="K46" s="79"/>
      <c r="L46" s="79"/>
      <c r="M46" s="79" t="str">
        <f>Table728182[[#This Row],[DBA]]&amp;" - "&amp;Table728182[[#This Row],[BIN]]&amp;" - "&amp;Table728182[[#This Row],[CAID]]</f>
        <v xml:space="preserve"> -  - </v>
      </c>
      <c r="N46" s="90"/>
    </row>
    <row r="47" spans="2:14" x14ac:dyDescent="0.25">
      <c r="H47" s="91"/>
      <c r="I47" s="91"/>
      <c r="J47" s="97"/>
      <c r="K47" s="79"/>
      <c r="L47" s="79"/>
      <c r="M47" s="79" t="str">
        <f>Table728182[[#This Row],[DBA]]&amp;" - "&amp;Table728182[[#This Row],[BIN]]&amp;" - "&amp;Table728182[[#This Row],[CAID]]</f>
        <v xml:space="preserve"> -  - </v>
      </c>
      <c r="N47" s="90"/>
    </row>
    <row r="48" spans="2:14" x14ac:dyDescent="0.25">
      <c r="H48" s="91"/>
      <c r="I48" s="91"/>
      <c r="J48" s="97"/>
      <c r="K48" s="79"/>
      <c r="L48" s="79"/>
      <c r="M48" s="79" t="str">
        <f>Table728182[[#This Row],[DBA]]&amp;" - "&amp;Table728182[[#This Row],[BIN]]&amp;" - "&amp;Table728182[[#This Row],[CAID]]</f>
        <v xml:space="preserve"> -  - </v>
      </c>
      <c r="N48" s="90"/>
    </row>
    <row r="49" spans="8:14" x14ac:dyDescent="0.25">
      <c r="H49" s="91"/>
      <c r="I49" s="91"/>
      <c r="J49" s="97"/>
      <c r="K49" s="79"/>
      <c r="L49" s="79"/>
      <c r="M49" s="79" t="str">
        <f>Table728182[[#This Row],[DBA]]&amp;" - "&amp;Table728182[[#This Row],[BIN]]&amp;" - "&amp;Table728182[[#This Row],[CAID]]</f>
        <v xml:space="preserve"> -  - </v>
      </c>
      <c r="N49" s="90"/>
    </row>
    <row r="50" spans="8:14" x14ac:dyDescent="0.25">
      <c r="H50" s="91"/>
      <c r="I50" s="91"/>
      <c r="J50" s="97"/>
      <c r="K50" s="79"/>
      <c r="L50" s="79"/>
      <c r="M50" s="79" t="str">
        <f>Table728182[[#This Row],[DBA]]&amp;" - "&amp;Table728182[[#This Row],[BIN]]&amp;" - "&amp;Table728182[[#This Row],[CAID]]</f>
        <v xml:space="preserve"> -  - </v>
      </c>
      <c r="N50" s="90"/>
    </row>
    <row r="51" spans="8:14" x14ac:dyDescent="0.25">
      <c r="H51" s="91"/>
      <c r="I51" s="91"/>
      <c r="J51" s="97"/>
      <c r="K51" s="79"/>
      <c r="L51" s="79"/>
      <c r="M51" s="79" t="str">
        <f>Table728182[[#This Row],[DBA]]&amp;" - "&amp;Table728182[[#This Row],[BIN]]&amp;" - "&amp;Table728182[[#This Row],[CAID]]</f>
        <v xml:space="preserve"> -  - </v>
      </c>
      <c r="N51" s="90"/>
    </row>
    <row r="52" spans="8:14" x14ac:dyDescent="0.25">
      <c r="H52" s="91"/>
      <c r="I52" s="91"/>
      <c r="J52" s="97"/>
      <c r="K52" s="79"/>
      <c r="L52" s="79"/>
      <c r="M52" s="79" t="str">
        <f>Table728182[[#This Row],[DBA]]&amp;" - "&amp;Table728182[[#This Row],[BIN]]&amp;" - "&amp;Table728182[[#This Row],[CAID]]</f>
        <v xml:space="preserve"> -  - </v>
      </c>
      <c r="N52" s="90"/>
    </row>
    <row r="53" spans="8:14" x14ac:dyDescent="0.25">
      <c r="H53" s="91"/>
      <c r="I53" s="91"/>
      <c r="J53" s="97"/>
      <c r="K53" s="79"/>
      <c r="L53" s="79"/>
      <c r="M53" s="79" t="str">
        <f>Table728182[[#This Row],[DBA]]&amp;" - "&amp;Table728182[[#This Row],[BIN]]&amp;" - "&amp;Table728182[[#This Row],[CAID]]</f>
        <v xml:space="preserve"> -  - </v>
      </c>
      <c r="N53" s="90"/>
    </row>
    <row r="54" spans="8:14" x14ac:dyDescent="0.25">
      <c r="H54" s="91"/>
      <c r="I54" s="91"/>
      <c r="J54" s="97"/>
      <c r="K54" s="79"/>
      <c r="L54" s="79"/>
      <c r="M54" s="79" t="str">
        <f>Table728182[[#This Row],[DBA]]&amp;" - "&amp;Table728182[[#This Row],[BIN]]&amp;" - "&amp;Table728182[[#This Row],[CAID]]</f>
        <v xml:space="preserve"> -  - </v>
      </c>
      <c r="N54" s="90"/>
    </row>
    <row r="55" spans="8:14" x14ac:dyDescent="0.25">
      <c r="H55" s="91"/>
      <c r="I55" s="91"/>
      <c r="J55" s="97"/>
      <c r="K55" s="79"/>
      <c r="L55" s="79"/>
      <c r="M55" s="79" t="str">
        <f>Table728182[[#This Row],[DBA]]&amp;" - "&amp;Table728182[[#This Row],[BIN]]&amp;" - "&amp;Table728182[[#This Row],[CAID]]</f>
        <v xml:space="preserve"> -  - </v>
      </c>
      <c r="N55" s="90"/>
    </row>
    <row r="56" spans="8:14" x14ac:dyDescent="0.25">
      <c r="H56" s="91"/>
      <c r="I56" s="91"/>
      <c r="J56" s="97"/>
      <c r="K56" s="79"/>
      <c r="L56" s="79"/>
      <c r="M56" s="79" t="str">
        <f>Table728182[[#This Row],[DBA]]&amp;" - "&amp;Table728182[[#This Row],[BIN]]&amp;" - "&amp;Table728182[[#This Row],[CAID]]</f>
        <v xml:space="preserve"> -  - </v>
      </c>
      <c r="N56" s="90"/>
    </row>
    <row r="57" spans="8:14" x14ac:dyDescent="0.25">
      <c r="H57" s="91"/>
      <c r="I57" s="91"/>
      <c r="J57" s="97"/>
      <c r="K57" s="79"/>
      <c r="L57" s="79"/>
      <c r="M57" s="79" t="str">
        <f>Table728182[[#This Row],[DBA]]&amp;" - "&amp;Table728182[[#This Row],[BIN]]&amp;" - "&amp;Table728182[[#This Row],[CAID]]</f>
        <v xml:space="preserve"> -  - </v>
      </c>
      <c r="N57" s="90"/>
    </row>
    <row r="58" spans="8:14" x14ac:dyDescent="0.25">
      <c r="H58" s="91"/>
      <c r="I58" s="91"/>
      <c r="J58" s="97"/>
      <c r="K58" s="79"/>
      <c r="L58" s="79"/>
      <c r="M58" s="79" t="str">
        <f>Table728182[[#This Row],[DBA]]&amp;" - "&amp;Table728182[[#This Row],[BIN]]&amp;" - "&amp;Table728182[[#This Row],[CAID]]</f>
        <v xml:space="preserve"> -  - </v>
      </c>
      <c r="N58" s="90"/>
    </row>
    <row r="59" spans="8:14" x14ac:dyDescent="0.25">
      <c r="H59" s="91"/>
      <c r="I59" s="91"/>
      <c r="J59" s="97"/>
      <c r="K59" s="79"/>
      <c r="L59" s="79"/>
      <c r="M59" s="79" t="str">
        <f>Table728182[[#This Row],[DBA]]&amp;" - "&amp;Table728182[[#This Row],[BIN]]&amp;" - "&amp;Table728182[[#This Row],[CAID]]</f>
        <v xml:space="preserve"> -  - </v>
      </c>
      <c r="N59" s="90"/>
    </row>
    <row r="60" spans="8:14" x14ac:dyDescent="0.25">
      <c r="H60" s="91"/>
      <c r="I60" s="91"/>
      <c r="J60" s="97"/>
      <c r="K60" s="79"/>
      <c r="L60" s="79"/>
      <c r="M60" s="79" t="str">
        <f>Table728182[[#This Row],[DBA]]&amp;" - "&amp;Table728182[[#This Row],[BIN]]&amp;" - "&amp;Table728182[[#This Row],[CAID]]</f>
        <v xml:space="preserve"> -  - </v>
      </c>
      <c r="N60" s="90"/>
    </row>
    <row r="61" spans="8:14" x14ac:dyDescent="0.25">
      <c r="H61" s="91"/>
      <c r="I61" s="91"/>
      <c r="J61" s="97"/>
      <c r="K61" s="79"/>
      <c r="L61" s="79"/>
      <c r="M61" s="79" t="str">
        <f>Table728182[[#This Row],[DBA]]&amp;" - "&amp;Table728182[[#This Row],[BIN]]&amp;" - "&amp;Table728182[[#This Row],[CAID]]</f>
        <v xml:space="preserve"> -  - </v>
      </c>
      <c r="N61" s="90"/>
    </row>
    <row r="62" spans="8:14" x14ac:dyDescent="0.25">
      <c r="H62" s="91"/>
      <c r="I62" s="91"/>
      <c r="J62" s="97"/>
      <c r="K62" s="79"/>
      <c r="L62" s="79"/>
      <c r="M62" s="79" t="str">
        <f>Table728182[[#This Row],[DBA]]&amp;" - "&amp;Table728182[[#This Row],[BIN]]&amp;" - "&amp;Table728182[[#This Row],[CAID]]</f>
        <v xml:space="preserve"> -  - </v>
      </c>
      <c r="N62" s="90"/>
    </row>
    <row r="63" spans="8:14" x14ac:dyDescent="0.25">
      <c r="H63" s="91"/>
      <c r="I63" s="91"/>
      <c r="J63" s="97"/>
      <c r="K63" s="79"/>
      <c r="L63" s="79"/>
      <c r="M63" s="79" t="str">
        <f>Table728182[[#This Row],[DBA]]&amp;" - "&amp;Table728182[[#This Row],[BIN]]&amp;" - "&amp;Table728182[[#This Row],[CAID]]</f>
        <v xml:space="preserve"> -  - </v>
      </c>
      <c r="N63" s="90"/>
    </row>
    <row r="64" spans="8:14" x14ac:dyDescent="0.25">
      <c r="H64" s="91"/>
      <c r="I64" s="91"/>
      <c r="J64" s="97"/>
      <c r="K64" s="79"/>
      <c r="L64" s="79"/>
      <c r="M64" s="79" t="str">
        <f>Table728182[[#This Row],[DBA]]&amp;" - "&amp;Table728182[[#This Row],[BIN]]&amp;" - "&amp;Table728182[[#This Row],[CAID]]</f>
        <v xml:space="preserve"> -  - </v>
      </c>
      <c r="N64" s="90"/>
    </row>
    <row r="65" spans="8:14" x14ac:dyDescent="0.25">
      <c r="H65" s="91"/>
      <c r="I65" s="91"/>
      <c r="J65" s="97"/>
      <c r="K65" s="79"/>
      <c r="L65" s="79"/>
      <c r="M65" s="79" t="str">
        <f>Table728182[[#This Row],[DBA]]&amp;" - "&amp;Table728182[[#This Row],[BIN]]&amp;" - "&amp;Table728182[[#This Row],[CAID]]</f>
        <v xml:space="preserve"> -  - </v>
      </c>
      <c r="N65" s="90"/>
    </row>
    <row r="66" spans="8:14" x14ac:dyDescent="0.25">
      <c r="H66" s="91"/>
      <c r="I66" s="91"/>
      <c r="J66" s="97"/>
      <c r="K66" s="79"/>
      <c r="L66" s="79"/>
      <c r="M66" s="79" t="str">
        <f>Table728182[[#This Row],[DBA]]&amp;" - "&amp;Table728182[[#This Row],[BIN]]&amp;" - "&amp;Table728182[[#This Row],[CAID]]</f>
        <v xml:space="preserve"> -  - </v>
      </c>
      <c r="N66" s="90"/>
    </row>
    <row r="67" spans="8:14" x14ac:dyDescent="0.25">
      <c r="H67" s="91"/>
      <c r="I67" s="91"/>
      <c r="J67" s="97"/>
      <c r="K67" s="79"/>
      <c r="L67" s="79"/>
      <c r="M67" s="79" t="str">
        <f>Table728182[[#This Row],[DBA]]&amp;" - "&amp;Table728182[[#This Row],[BIN]]&amp;" - "&amp;Table728182[[#This Row],[CAID]]</f>
        <v xml:space="preserve"> -  - </v>
      </c>
      <c r="N67" s="90"/>
    </row>
    <row r="68" spans="8:14" x14ac:dyDescent="0.25">
      <c r="H68" s="91"/>
      <c r="I68" s="91"/>
      <c r="J68" s="97"/>
      <c r="K68" s="79"/>
      <c r="L68" s="79"/>
      <c r="M68" s="79" t="str">
        <f>Table728182[[#This Row],[DBA]]&amp;" - "&amp;Table728182[[#This Row],[BIN]]&amp;" - "&amp;Table728182[[#This Row],[CAID]]</f>
        <v xml:space="preserve"> -  - </v>
      </c>
      <c r="N68" s="90"/>
    </row>
    <row r="69" spans="8:14" x14ac:dyDescent="0.25">
      <c r="H69" s="91"/>
      <c r="I69" s="91"/>
      <c r="J69" s="97"/>
      <c r="K69" s="79"/>
      <c r="L69" s="79"/>
      <c r="M69" s="79" t="str">
        <f>Table728182[[#This Row],[DBA]]&amp;" - "&amp;Table728182[[#This Row],[BIN]]&amp;" - "&amp;Table728182[[#This Row],[CAID]]</f>
        <v xml:space="preserve"> -  - </v>
      </c>
      <c r="N69" s="90"/>
    </row>
    <row r="70" spans="8:14" x14ac:dyDescent="0.25">
      <c r="H70" s="91"/>
      <c r="I70" s="91"/>
      <c r="J70" s="97"/>
      <c r="K70" s="79"/>
      <c r="L70" s="79"/>
      <c r="M70" s="79" t="str">
        <f>Table728182[[#This Row],[DBA]]&amp;" - "&amp;Table728182[[#This Row],[BIN]]&amp;" - "&amp;Table728182[[#This Row],[CAID]]</f>
        <v xml:space="preserve"> -  - </v>
      </c>
      <c r="N70" s="90"/>
    </row>
    <row r="71" spans="8:14" x14ac:dyDescent="0.25">
      <c r="H71" s="91"/>
      <c r="I71" s="91"/>
      <c r="J71" s="97"/>
      <c r="K71" s="79"/>
      <c r="L71" s="79"/>
      <c r="M71" s="79" t="str">
        <f>Table728182[[#This Row],[DBA]]&amp;" - "&amp;Table728182[[#This Row],[BIN]]&amp;" - "&amp;Table728182[[#This Row],[CAID]]</f>
        <v xml:space="preserve"> -  - </v>
      </c>
      <c r="N71" s="90"/>
    </row>
    <row r="72" spans="8:14" x14ac:dyDescent="0.25">
      <c r="H72" s="91"/>
      <c r="I72" s="91"/>
      <c r="J72" s="97"/>
      <c r="K72" s="79"/>
      <c r="L72" s="79"/>
      <c r="M72" s="79" t="str">
        <f>Table728182[[#This Row],[DBA]]&amp;" - "&amp;Table728182[[#This Row],[BIN]]&amp;" - "&amp;Table728182[[#This Row],[CAID]]</f>
        <v xml:space="preserve"> -  - </v>
      </c>
      <c r="N72" s="90"/>
    </row>
    <row r="73" spans="8:14" x14ac:dyDescent="0.25">
      <c r="H73" s="91"/>
      <c r="I73" s="91"/>
      <c r="J73" s="97"/>
      <c r="K73" s="79"/>
      <c r="L73" s="79"/>
      <c r="M73" s="79" t="str">
        <f>Table728182[[#This Row],[DBA]]&amp;" - "&amp;Table728182[[#This Row],[BIN]]&amp;" - "&amp;Table728182[[#This Row],[CAID]]</f>
        <v xml:space="preserve"> -  - </v>
      </c>
      <c r="N73" s="90"/>
    </row>
    <row r="74" spans="8:14" x14ac:dyDescent="0.25">
      <c r="H74" s="91"/>
      <c r="I74" s="91"/>
      <c r="J74" s="97"/>
      <c r="K74" s="79"/>
      <c r="L74" s="79"/>
      <c r="M74" s="79" t="str">
        <f>Table728182[[#This Row],[DBA]]&amp;" - "&amp;Table728182[[#This Row],[BIN]]&amp;" - "&amp;Table728182[[#This Row],[CAID]]</f>
        <v xml:space="preserve"> -  - </v>
      </c>
      <c r="N74" s="90"/>
    </row>
    <row r="75" spans="8:14" x14ac:dyDescent="0.25">
      <c r="H75" s="91"/>
      <c r="I75" s="91"/>
      <c r="J75" s="97"/>
      <c r="K75" s="79"/>
      <c r="L75" s="79"/>
      <c r="M75" s="79" t="str">
        <f>Table728182[[#This Row],[DBA]]&amp;" - "&amp;Table728182[[#This Row],[BIN]]&amp;" - "&amp;Table728182[[#This Row],[CAID]]</f>
        <v xml:space="preserve"> -  - </v>
      </c>
      <c r="N75" s="90"/>
    </row>
    <row r="76" spans="8:14" x14ac:dyDescent="0.25">
      <c r="H76" s="91"/>
      <c r="I76" s="91"/>
      <c r="J76" s="97"/>
      <c r="K76" s="79"/>
      <c r="L76" s="79"/>
      <c r="M76" s="79" t="str">
        <f>Table728182[[#This Row],[DBA]]&amp;" - "&amp;Table728182[[#This Row],[BIN]]&amp;" - "&amp;Table728182[[#This Row],[CAID]]</f>
        <v xml:space="preserve"> -  - </v>
      </c>
      <c r="N76" s="90"/>
    </row>
    <row r="77" spans="8:14" x14ac:dyDescent="0.25">
      <c r="H77" s="91"/>
      <c r="I77" s="91"/>
      <c r="J77" s="97"/>
      <c r="K77" s="79"/>
      <c r="L77" s="79"/>
      <c r="M77" s="79" t="str">
        <f>Table728182[[#This Row],[DBA]]&amp;" - "&amp;Table728182[[#This Row],[BIN]]&amp;" - "&amp;Table728182[[#This Row],[CAID]]</f>
        <v xml:space="preserve"> -  - </v>
      </c>
      <c r="N77" s="90"/>
    </row>
    <row r="78" spans="8:14" x14ac:dyDescent="0.25">
      <c r="H78" s="91"/>
      <c r="I78" s="91"/>
      <c r="J78" s="97"/>
      <c r="K78" s="79"/>
      <c r="L78" s="79"/>
      <c r="M78" s="79" t="str">
        <f>Table728182[[#This Row],[DBA]]&amp;" - "&amp;Table728182[[#This Row],[BIN]]&amp;" - "&amp;Table728182[[#This Row],[CAID]]</f>
        <v xml:space="preserve"> -  - </v>
      </c>
      <c r="N78" s="90"/>
    </row>
    <row r="79" spans="8:14" x14ac:dyDescent="0.25">
      <c r="H79" s="91"/>
      <c r="I79" s="91"/>
      <c r="J79" s="97"/>
      <c r="K79" s="79"/>
      <c r="L79" s="79"/>
      <c r="M79" s="79" t="str">
        <f>Table728182[[#This Row],[DBA]]&amp;" - "&amp;Table728182[[#This Row],[BIN]]&amp;" - "&amp;Table728182[[#This Row],[CAID]]</f>
        <v xml:space="preserve"> -  - </v>
      </c>
      <c r="N79" s="90"/>
    </row>
    <row r="80" spans="8:14" x14ac:dyDescent="0.25">
      <c r="H80" s="91"/>
      <c r="I80" s="91"/>
      <c r="J80" s="97"/>
      <c r="K80" s="79"/>
      <c r="L80" s="79"/>
      <c r="M80" s="79" t="str">
        <f>Table728182[[#This Row],[DBA]]&amp;" - "&amp;Table728182[[#This Row],[BIN]]&amp;" - "&amp;Table728182[[#This Row],[CAID]]</f>
        <v xml:space="preserve"> -  - </v>
      </c>
      <c r="N80" s="90"/>
    </row>
    <row r="81" spans="8:14" x14ac:dyDescent="0.25">
      <c r="H81" s="91"/>
      <c r="I81" s="91"/>
      <c r="J81" s="97"/>
      <c r="K81" s="79"/>
      <c r="L81" s="79"/>
      <c r="M81" s="79" t="str">
        <f>Table728182[[#This Row],[DBA]]&amp;" - "&amp;Table728182[[#This Row],[BIN]]&amp;" - "&amp;Table728182[[#This Row],[CAID]]</f>
        <v xml:space="preserve"> -  - </v>
      </c>
      <c r="N81" s="90"/>
    </row>
    <row r="82" spans="8:14" x14ac:dyDescent="0.25">
      <c r="H82" s="91"/>
      <c r="I82" s="91"/>
      <c r="J82" s="97"/>
      <c r="K82" s="79"/>
      <c r="L82" s="79"/>
      <c r="M82" s="79" t="str">
        <f>Table728182[[#This Row],[DBA]]&amp;" - "&amp;Table728182[[#This Row],[BIN]]&amp;" - "&amp;Table728182[[#This Row],[CAID]]</f>
        <v xml:space="preserve"> -  - </v>
      </c>
      <c r="N82" s="90"/>
    </row>
    <row r="83" spans="8:14" x14ac:dyDescent="0.25">
      <c r="H83" s="91"/>
      <c r="I83" s="91"/>
      <c r="J83" s="97"/>
      <c r="K83" s="79"/>
      <c r="L83" s="79"/>
      <c r="M83" s="79" t="str">
        <f>Table728182[[#This Row],[DBA]]&amp;" - "&amp;Table728182[[#This Row],[BIN]]&amp;" - "&amp;Table728182[[#This Row],[CAID]]</f>
        <v xml:space="preserve"> -  - </v>
      </c>
      <c r="N83" s="90"/>
    </row>
    <row r="84" spans="8:14" x14ac:dyDescent="0.25">
      <c r="H84" s="91"/>
      <c r="I84" s="91"/>
      <c r="J84" s="97"/>
      <c r="K84" s="79"/>
      <c r="L84" s="79"/>
      <c r="M84" s="79" t="str">
        <f>Table728182[[#This Row],[DBA]]&amp;" - "&amp;Table728182[[#This Row],[BIN]]&amp;" - "&amp;Table728182[[#This Row],[CAID]]</f>
        <v xml:space="preserve"> -  - </v>
      </c>
      <c r="N84" s="90"/>
    </row>
    <row r="85" spans="8:14" x14ac:dyDescent="0.25">
      <c r="H85" s="91"/>
      <c r="I85" s="91"/>
      <c r="J85" s="97"/>
      <c r="K85" s="79"/>
      <c r="L85" s="79"/>
      <c r="M85" s="79" t="str">
        <f>Table728182[[#This Row],[DBA]]&amp;" - "&amp;Table728182[[#This Row],[BIN]]&amp;" - "&amp;Table728182[[#This Row],[CAID]]</f>
        <v xml:space="preserve"> -  - </v>
      </c>
      <c r="N85" s="90"/>
    </row>
    <row r="86" spans="8:14" x14ac:dyDescent="0.25">
      <c r="H86" s="91"/>
      <c r="I86" s="91"/>
      <c r="J86" s="97"/>
      <c r="K86" s="79"/>
      <c r="L86" s="79"/>
      <c r="M86" s="79" t="str">
        <f>Table728182[[#This Row],[DBA]]&amp;" - "&amp;Table728182[[#This Row],[BIN]]&amp;" - "&amp;Table728182[[#This Row],[CAID]]</f>
        <v xml:space="preserve"> -  - </v>
      </c>
      <c r="N86" s="90"/>
    </row>
    <row r="87" spans="8:14" x14ac:dyDescent="0.25">
      <c r="H87" s="91"/>
      <c r="I87" s="91"/>
      <c r="J87" s="97"/>
      <c r="K87" s="79"/>
      <c r="L87" s="79"/>
      <c r="M87" s="79" t="str">
        <f>Table728182[[#This Row],[DBA]]&amp;" - "&amp;Table728182[[#This Row],[BIN]]&amp;" - "&amp;Table728182[[#This Row],[CAID]]</f>
        <v xml:space="preserve"> -  - </v>
      </c>
      <c r="N87" s="90"/>
    </row>
    <row r="88" spans="8:14" x14ac:dyDescent="0.25">
      <c r="H88" s="91"/>
      <c r="I88" s="91"/>
      <c r="J88" s="97"/>
      <c r="K88" s="79"/>
      <c r="L88" s="79"/>
      <c r="M88" s="79" t="str">
        <f>Table728182[[#This Row],[DBA]]&amp;" - "&amp;Table728182[[#This Row],[BIN]]&amp;" - "&amp;Table728182[[#This Row],[CAID]]</f>
        <v xml:space="preserve"> -  - </v>
      </c>
      <c r="N88" s="90"/>
    </row>
    <row r="89" spans="8:14" x14ac:dyDescent="0.25">
      <c r="H89" s="91"/>
      <c r="I89" s="91"/>
      <c r="J89" s="97"/>
      <c r="K89" s="79"/>
      <c r="L89" s="79"/>
      <c r="M89" s="79" t="str">
        <f>Table728182[[#This Row],[DBA]]&amp;" - "&amp;Table728182[[#This Row],[BIN]]&amp;" - "&amp;Table728182[[#This Row],[CAID]]</f>
        <v xml:space="preserve"> -  - </v>
      </c>
      <c r="N89" s="90"/>
    </row>
    <row r="90" spans="8:14" x14ac:dyDescent="0.25">
      <c r="H90" s="91"/>
      <c r="I90" s="91"/>
      <c r="J90" s="97"/>
      <c r="K90" s="79"/>
      <c r="L90" s="79"/>
      <c r="M90" s="79" t="str">
        <f>Table728182[[#This Row],[DBA]]&amp;" - "&amp;Table728182[[#This Row],[BIN]]&amp;" - "&amp;Table728182[[#This Row],[CAID]]</f>
        <v xml:space="preserve"> -  - </v>
      </c>
      <c r="N90" s="90"/>
    </row>
    <row r="91" spans="8:14" x14ac:dyDescent="0.25">
      <c r="H91" s="91"/>
      <c r="I91" s="91"/>
      <c r="J91" s="97"/>
      <c r="K91" s="79"/>
      <c r="L91" s="79"/>
      <c r="M91" s="79" t="str">
        <f>Table728182[[#This Row],[DBA]]&amp;" - "&amp;Table728182[[#This Row],[BIN]]&amp;" - "&amp;Table728182[[#This Row],[CAID]]</f>
        <v xml:space="preserve"> -  - </v>
      </c>
      <c r="N91" s="90"/>
    </row>
    <row r="92" spans="8:14" x14ac:dyDescent="0.25">
      <c r="H92" s="91"/>
      <c r="I92" s="91"/>
      <c r="J92" s="97"/>
      <c r="K92" s="79"/>
      <c r="L92" s="79"/>
      <c r="M92" s="79" t="str">
        <f>Table728182[[#This Row],[DBA]]&amp;" - "&amp;Table728182[[#This Row],[BIN]]&amp;" - "&amp;Table728182[[#This Row],[CAID]]</f>
        <v xml:space="preserve"> -  - </v>
      </c>
      <c r="N92" s="90"/>
    </row>
    <row r="93" spans="8:14" x14ac:dyDescent="0.25">
      <c r="H93" s="91"/>
      <c r="I93" s="91"/>
      <c r="J93" s="97"/>
      <c r="K93" s="79"/>
      <c r="L93" s="79"/>
      <c r="M93" s="79" t="str">
        <f>Table728182[[#This Row],[DBA]]&amp;" - "&amp;Table728182[[#This Row],[BIN]]&amp;" - "&amp;Table728182[[#This Row],[CAID]]</f>
        <v xml:space="preserve"> -  - </v>
      </c>
      <c r="N93" s="90"/>
    </row>
    <row r="94" spans="8:14" x14ac:dyDescent="0.25">
      <c r="H94" s="91"/>
      <c r="I94" s="91"/>
      <c r="J94" s="97"/>
      <c r="K94" s="79"/>
      <c r="L94" s="79"/>
      <c r="M94" s="79" t="str">
        <f>Table728182[[#This Row],[DBA]]&amp;" - "&amp;Table728182[[#This Row],[BIN]]&amp;" - "&amp;Table728182[[#This Row],[CAID]]</f>
        <v xml:space="preserve"> -  - </v>
      </c>
      <c r="N94" s="90"/>
    </row>
    <row r="95" spans="8:14" x14ac:dyDescent="0.25">
      <c r="H95" s="91"/>
      <c r="I95" s="91"/>
      <c r="J95" s="97"/>
      <c r="K95" s="79"/>
      <c r="L95" s="79"/>
      <c r="M95" s="79" t="str">
        <f>Table728182[[#This Row],[DBA]]&amp;" - "&amp;Table728182[[#This Row],[BIN]]&amp;" - "&amp;Table728182[[#This Row],[CAID]]</f>
        <v xml:space="preserve"> -  - </v>
      </c>
      <c r="N95" s="90"/>
    </row>
    <row r="96" spans="8:14" x14ac:dyDescent="0.25">
      <c r="H96" s="91"/>
      <c r="I96" s="91"/>
      <c r="J96" s="97"/>
      <c r="K96" s="79"/>
      <c r="L96" s="79"/>
      <c r="M96" s="79" t="str">
        <f>Table728182[[#This Row],[DBA]]&amp;" - "&amp;Table728182[[#This Row],[BIN]]&amp;" - "&amp;Table728182[[#This Row],[CAID]]</f>
        <v xml:space="preserve"> -  - </v>
      </c>
      <c r="N96" s="90"/>
    </row>
    <row r="97" spans="8:14" x14ac:dyDescent="0.25">
      <c r="H97" s="91"/>
      <c r="I97" s="91"/>
      <c r="J97" s="97"/>
      <c r="K97" s="79"/>
      <c r="L97" s="79"/>
      <c r="M97" s="79" t="str">
        <f>Table728182[[#This Row],[DBA]]&amp;" - "&amp;Table728182[[#This Row],[BIN]]&amp;" - "&amp;Table728182[[#This Row],[CAID]]</f>
        <v xml:space="preserve"> -  - </v>
      </c>
      <c r="N97" s="90"/>
    </row>
    <row r="98" spans="8:14" x14ac:dyDescent="0.25">
      <c r="H98" s="91"/>
      <c r="I98" s="91"/>
      <c r="J98" s="97"/>
      <c r="K98" s="79"/>
      <c r="L98" s="79"/>
      <c r="M98" s="79" t="str">
        <f>Table728182[[#This Row],[DBA]]&amp;" - "&amp;Table728182[[#This Row],[BIN]]&amp;" - "&amp;Table728182[[#This Row],[CAID]]</f>
        <v xml:space="preserve"> -  - </v>
      </c>
      <c r="N98" s="90"/>
    </row>
    <row r="99" spans="8:14" x14ac:dyDescent="0.25">
      <c r="H99" s="91"/>
      <c r="I99" s="91"/>
      <c r="J99" s="97"/>
      <c r="K99" s="79"/>
      <c r="L99" s="79"/>
      <c r="M99" s="79" t="str">
        <f>Table728182[[#This Row],[DBA]]&amp;" - "&amp;Table728182[[#This Row],[BIN]]&amp;" - "&amp;Table728182[[#This Row],[CAID]]</f>
        <v xml:space="preserve"> -  - </v>
      </c>
      <c r="N99" s="90"/>
    </row>
    <row r="100" spans="8:14" x14ac:dyDescent="0.25">
      <c r="H100" s="91"/>
      <c r="I100" s="91"/>
      <c r="J100" s="97"/>
      <c r="K100" s="79"/>
      <c r="L100" s="79"/>
      <c r="M100" s="79" t="str">
        <f>Table728182[[#This Row],[DBA]]&amp;" - "&amp;Table728182[[#This Row],[BIN]]&amp;" - "&amp;Table728182[[#This Row],[CAID]]</f>
        <v xml:space="preserve"> -  - </v>
      </c>
      <c r="N100" s="90"/>
    </row>
    <row r="101" spans="8:14" x14ac:dyDescent="0.25">
      <c r="H101" s="91"/>
      <c r="I101" s="91"/>
      <c r="J101" s="97"/>
      <c r="K101" s="79"/>
      <c r="L101" s="79"/>
      <c r="M101" s="79" t="str">
        <f>Table728182[[#This Row],[DBA]]&amp;" - "&amp;Table728182[[#This Row],[BIN]]&amp;" - "&amp;Table728182[[#This Row],[CAID]]</f>
        <v xml:space="preserve"> -  - </v>
      </c>
      <c r="N101" s="90"/>
    </row>
    <row r="102" spans="8:14" x14ac:dyDescent="0.25">
      <c r="H102" s="91"/>
      <c r="I102" s="91"/>
      <c r="J102" s="97"/>
      <c r="K102" s="79"/>
      <c r="L102" s="79"/>
      <c r="M102" s="79" t="str">
        <f>Table728182[[#This Row],[DBA]]&amp;" - "&amp;Table728182[[#This Row],[BIN]]&amp;" - "&amp;Table728182[[#This Row],[CAID]]</f>
        <v xml:space="preserve"> -  - </v>
      </c>
      <c r="N102" s="90"/>
    </row>
    <row r="103" spans="8:14" x14ac:dyDescent="0.25">
      <c r="H103" s="91"/>
      <c r="I103" s="91"/>
      <c r="J103" s="97"/>
      <c r="K103" s="79"/>
      <c r="L103" s="79"/>
      <c r="M103" s="79" t="str">
        <f>Table728182[[#This Row],[DBA]]&amp;" - "&amp;Table728182[[#This Row],[BIN]]&amp;" - "&amp;Table728182[[#This Row],[CAID]]</f>
        <v xml:space="preserve"> -  - </v>
      </c>
      <c r="N103" s="90"/>
    </row>
    <row r="104" spans="8:14" x14ac:dyDescent="0.25">
      <c r="H104" s="91"/>
      <c r="I104" s="91"/>
      <c r="J104" s="97"/>
      <c r="K104" s="79"/>
      <c r="L104" s="79"/>
      <c r="M104" s="79" t="str">
        <f>Table728182[[#This Row],[DBA]]&amp;" - "&amp;Table728182[[#This Row],[BIN]]&amp;" - "&amp;Table728182[[#This Row],[CAID]]</f>
        <v xml:space="preserve"> -  - </v>
      </c>
      <c r="N104" s="90"/>
    </row>
    <row r="105" spans="8:14" x14ac:dyDescent="0.25">
      <c r="H105" s="91"/>
      <c r="I105" s="91"/>
      <c r="J105" s="97"/>
      <c r="K105" s="79"/>
      <c r="L105" s="79"/>
      <c r="M105" s="79" t="str">
        <f>Table728182[[#This Row],[DBA]]&amp;" - "&amp;Table728182[[#This Row],[BIN]]&amp;" - "&amp;Table728182[[#This Row],[CAID]]</f>
        <v xml:space="preserve"> -  - </v>
      </c>
      <c r="N105" s="90"/>
    </row>
    <row r="106" spans="8:14" x14ac:dyDescent="0.25">
      <c r="H106" s="91"/>
      <c r="I106" s="91"/>
      <c r="J106" s="97"/>
      <c r="K106" s="79"/>
      <c r="L106" s="79"/>
      <c r="M106" s="79" t="str">
        <f>Table728182[[#This Row],[DBA]]&amp;" - "&amp;Table728182[[#This Row],[BIN]]&amp;" - "&amp;Table728182[[#This Row],[CAID]]</f>
        <v xml:space="preserve"> -  - </v>
      </c>
      <c r="N106" s="90"/>
    </row>
    <row r="107" spans="8:14" x14ac:dyDescent="0.25">
      <c r="H107" s="91"/>
      <c r="I107" s="91"/>
      <c r="J107" s="97"/>
      <c r="K107" s="79"/>
      <c r="L107" s="79"/>
      <c r="M107" s="79" t="str">
        <f>Table728182[[#This Row],[DBA]]&amp;" - "&amp;Table728182[[#This Row],[BIN]]&amp;" - "&amp;Table728182[[#This Row],[CAID]]</f>
        <v xml:space="preserve"> -  - </v>
      </c>
      <c r="N107" s="90"/>
    </row>
    <row r="108" spans="8:14" x14ac:dyDescent="0.25">
      <c r="H108" s="91"/>
      <c r="I108" s="91"/>
      <c r="J108" s="97"/>
      <c r="K108" s="79"/>
      <c r="L108" s="79"/>
      <c r="M108" s="79" t="str">
        <f>Table728182[[#This Row],[DBA]]&amp;" - "&amp;Table728182[[#This Row],[BIN]]&amp;" - "&amp;Table728182[[#This Row],[CAID]]</f>
        <v xml:space="preserve"> -  - </v>
      </c>
      <c r="N108" s="90"/>
    </row>
    <row r="109" spans="8:14" x14ac:dyDescent="0.25">
      <c r="H109" s="91"/>
      <c r="I109" s="91"/>
      <c r="J109" s="97"/>
      <c r="K109" s="79"/>
      <c r="L109" s="79"/>
      <c r="M109" s="79" t="str">
        <f>Table728182[[#This Row],[DBA]]&amp;" - "&amp;Table728182[[#This Row],[BIN]]&amp;" - "&amp;Table728182[[#This Row],[CAID]]</f>
        <v xml:space="preserve"> -  - </v>
      </c>
      <c r="N109" s="90"/>
    </row>
    <row r="110" spans="8:14" x14ac:dyDescent="0.25">
      <c r="H110" s="91"/>
      <c r="I110" s="91"/>
      <c r="J110" s="97"/>
      <c r="K110" s="79"/>
      <c r="L110" s="79"/>
      <c r="M110" s="79" t="str">
        <f>Table728182[[#This Row],[DBA]]&amp;" - "&amp;Table728182[[#This Row],[BIN]]&amp;" - "&amp;Table728182[[#This Row],[CAID]]</f>
        <v xml:space="preserve"> -  - </v>
      </c>
      <c r="N110" s="90"/>
    </row>
    <row r="111" spans="8:14" x14ac:dyDescent="0.25">
      <c r="H111" s="91"/>
      <c r="I111" s="91"/>
      <c r="J111" s="97"/>
      <c r="K111" s="79"/>
      <c r="L111" s="79"/>
      <c r="M111" s="79" t="str">
        <f>Table728182[[#This Row],[DBA]]&amp;" - "&amp;Table728182[[#This Row],[BIN]]&amp;" - "&amp;Table728182[[#This Row],[CAID]]</f>
        <v xml:space="preserve"> -  - </v>
      </c>
      <c r="N111" s="90"/>
    </row>
    <row r="112" spans="8:14" x14ac:dyDescent="0.25">
      <c r="H112" s="91"/>
      <c r="I112" s="91"/>
      <c r="J112" s="97"/>
      <c r="K112" s="79"/>
      <c r="L112" s="79"/>
      <c r="M112" s="79" t="str">
        <f>Table728182[[#This Row],[DBA]]&amp;" - "&amp;Table728182[[#This Row],[BIN]]&amp;" - "&amp;Table728182[[#This Row],[CAID]]</f>
        <v xml:space="preserve"> -  - </v>
      </c>
      <c r="N112" s="90"/>
    </row>
    <row r="113" spans="8:14" x14ac:dyDescent="0.25">
      <c r="H113" s="91"/>
      <c r="I113" s="91"/>
      <c r="J113" s="97"/>
      <c r="K113" s="79"/>
      <c r="L113" s="79"/>
      <c r="M113" s="79" t="str">
        <f>Table728182[[#This Row],[DBA]]&amp;" - "&amp;Table728182[[#This Row],[BIN]]&amp;" - "&amp;Table728182[[#This Row],[CAID]]</f>
        <v xml:space="preserve"> -  - </v>
      </c>
      <c r="N113" s="90"/>
    </row>
    <row r="114" spans="8:14" x14ac:dyDescent="0.25">
      <c r="H114" s="91"/>
      <c r="I114" s="91"/>
      <c r="J114" s="97"/>
      <c r="K114" s="79"/>
      <c r="L114" s="79"/>
      <c r="M114" s="79" t="str">
        <f>Table728182[[#This Row],[DBA]]&amp;" - "&amp;Table728182[[#This Row],[BIN]]&amp;" - "&amp;Table728182[[#This Row],[CAID]]</f>
        <v xml:space="preserve"> -  - </v>
      </c>
      <c r="N114" s="90"/>
    </row>
    <row r="115" spans="8:14" x14ac:dyDescent="0.25">
      <c r="H115" s="91"/>
      <c r="I115" s="91"/>
      <c r="J115" s="97"/>
      <c r="K115" s="79"/>
      <c r="L115" s="79"/>
      <c r="M115" s="79" t="str">
        <f>Table728182[[#This Row],[DBA]]&amp;" - "&amp;Table728182[[#This Row],[BIN]]&amp;" - "&amp;Table728182[[#This Row],[CAID]]</f>
        <v xml:space="preserve"> -  - </v>
      </c>
      <c r="N115" s="90"/>
    </row>
    <row r="116" spans="8:14" x14ac:dyDescent="0.25">
      <c r="H116" s="91"/>
      <c r="I116" s="91"/>
      <c r="J116" s="97"/>
      <c r="K116" s="79"/>
      <c r="L116" s="79"/>
      <c r="M116" s="79" t="str">
        <f>Table728182[[#This Row],[DBA]]&amp;" - "&amp;Table728182[[#This Row],[BIN]]&amp;" - "&amp;Table728182[[#This Row],[CAID]]</f>
        <v xml:space="preserve"> -  - </v>
      </c>
      <c r="N116" s="90"/>
    </row>
    <row r="117" spans="8:14" x14ac:dyDescent="0.25">
      <c r="H117" s="91"/>
      <c r="I117" s="91"/>
      <c r="J117" s="97"/>
      <c r="K117" s="79"/>
      <c r="L117" s="79"/>
      <c r="M117" s="79" t="str">
        <f>Table728182[[#This Row],[DBA]]&amp;" - "&amp;Table728182[[#This Row],[BIN]]&amp;" - "&amp;Table728182[[#This Row],[CAID]]</f>
        <v xml:space="preserve"> -  - </v>
      </c>
      <c r="N117" s="90"/>
    </row>
    <row r="118" spans="8:14" x14ac:dyDescent="0.25">
      <c r="H118" s="91"/>
      <c r="I118" s="91"/>
      <c r="J118" s="97"/>
      <c r="K118" s="79"/>
      <c r="L118" s="79"/>
      <c r="M118" s="79" t="str">
        <f>Table728182[[#This Row],[DBA]]&amp;" - "&amp;Table728182[[#This Row],[BIN]]&amp;" - "&amp;Table728182[[#This Row],[CAID]]</f>
        <v xml:space="preserve"> -  - </v>
      </c>
      <c r="N118" s="90"/>
    </row>
    <row r="119" spans="8:14" x14ac:dyDescent="0.25">
      <c r="H119" s="91"/>
      <c r="I119" s="91"/>
      <c r="J119" s="97"/>
      <c r="K119" s="79"/>
      <c r="L119" s="79"/>
      <c r="M119" s="79" t="str">
        <f>Table728182[[#This Row],[DBA]]&amp;" - "&amp;Table728182[[#This Row],[BIN]]&amp;" - "&amp;Table728182[[#This Row],[CAID]]</f>
        <v xml:space="preserve"> -  - </v>
      </c>
      <c r="N119" s="90"/>
    </row>
    <row r="120" spans="8:14" x14ac:dyDescent="0.25">
      <c r="H120" s="91"/>
      <c r="I120" s="91"/>
      <c r="J120" s="97"/>
      <c r="K120" s="79"/>
      <c r="L120" s="79"/>
      <c r="M120" s="79" t="str">
        <f>Table728182[[#This Row],[DBA]]&amp;" - "&amp;Table728182[[#This Row],[BIN]]&amp;" - "&amp;Table728182[[#This Row],[CAID]]</f>
        <v xml:space="preserve"> -  - </v>
      </c>
      <c r="N120" s="90"/>
    </row>
    <row r="121" spans="8:14" x14ac:dyDescent="0.25">
      <c r="H121" s="91"/>
      <c r="I121" s="91"/>
      <c r="J121" s="97"/>
      <c r="K121" s="79"/>
      <c r="L121" s="79"/>
      <c r="M121" s="79" t="str">
        <f>Table728182[[#This Row],[DBA]]&amp;" - "&amp;Table728182[[#This Row],[BIN]]&amp;" - "&amp;Table728182[[#This Row],[CAID]]</f>
        <v xml:space="preserve"> -  - </v>
      </c>
      <c r="N121" s="90"/>
    </row>
    <row r="122" spans="8:14" x14ac:dyDescent="0.25">
      <c r="H122" s="91"/>
      <c r="I122" s="91"/>
      <c r="J122" s="97"/>
      <c r="K122" s="79"/>
      <c r="L122" s="79"/>
      <c r="M122" s="79" t="str">
        <f>Table728182[[#This Row],[DBA]]&amp;" - "&amp;Table728182[[#This Row],[BIN]]&amp;" - "&amp;Table728182[[#This Row],[CAID]]</f>
        <v xml:space="preserve"> -  - </v>
      </c>
      <c r="N122" s="90"/>
    </row>
    <row r="123" spans="8:14" x14ac:dyDescent="0.25">
      <c r="H123" s="91"/>
      <c r="I123" s="91"/>
      <c r="J123" s="97"/>
      <c r="K123" s="79"/>
      <c r="L123" s="79"/>
      <c r="M123" s="79" t="str">
        <f>Table728182[[#This Row],[DBA]]&amp;" - "&amp;Table728182[[#This Row],[BIN]]&amp;" - "&amp;Table728182[[#This Row],[CAID]]</f>
        <v xml:space="preserve"> -  - </v>
      </c>
      <c r="N123" s="90"/>
    </row>
    <row r="124" spans="8:14" x14ac:dyDescent="0.25">
      <c r="H124" s="91"/>
      <c r="I124" s="91"/>
      <c r="J124" s="97"/>
      <c r="K124" s="79"/>
      <c r="L124" s="79"/>
      <c r="M124" s="79" t="str">
        <f>Table728182[[#This Row],[DBA]]&amp;" - "&amp;Table728182[[#This Row],[BIN]]&amp;" - "&amp;Table728182[[#This Row],[CAID]]</f>
        <v xml:space="preserve"> -  - </v>
      </c>
      <c r="N124" s="90"/>
    </row>
    <row r="125" spans="8:14" x14ac:dyDescent="0.25">
      <c r="H125" s="91"/>
      <c r="I125" s="91"/>
      <c r="J125" s="97"/>
      <c r="K125" s="79"/>
      <c r="L125" s="79"/>
      <c r="M125" s="79" t="str">
        <f>Table728182[[#This Row],[DBA]]&amp;" - "&amp;Table728182[[#This Row],[BIN]]&amp;" - "&amp;Table728182[[#This Row],[CAID]]</f>
        <v xml:space="preserve"> -  - </v>
      </c>
      <c r="N125" s="90"/>
    </row>
    <row r="126" spans="8:14" x14ac:dyDescent="0.25">
      <c r="H126" s="91"/>
      <c r="I126" s="91"/>
      <c r="J126" s="97"/>
      <c r="K126" s="79"/>
      <c r="L126" s="79"/>
      <c r="M126" s="79" t="str">
        <f>Table728182[[#This Row],[DBA]]&amp;" - "&amp;Table728182[[#This Row],[BIN]]&amp;" - "&amp;Table728182[[#This Row],[CAID]]</f>
        <v xml:space="preserve"> -  - </v>
      </c>
      <c r="N126" s="90"/>
    </row>
    <row r="127" spans="8:14" x14ac:dyDescent="0.25">
      <c r="H127" s="91"/>
      <c r="I127" s="91"/>
      <c r="J127" s="97"/>
      <c r="K127" s="79"/>
      <c r="L127" s="79"/>
      <c r="M127" s="79" t="str">
        <f>Table728182[[#This Row],[DBA]]&amp;" - "&amp;Table728182[[#This Row],[BIN]]&amp;" - "&amp;Table728182[[#This Row],[CAID]]</f>
        <v xml:space="preserve"> -  - </v>
      </c>
      <c r="N127" s="90"/>
    </row>
    <row r="128" spans="8:14" x14ac:dyDescent="0.25">
      <c r="H128" s="91"/>
      <c r="I128" s="91"/>
      <c r="J128" s="97"/>
      <c r="K128" s="79"/>
      <c r="L128" s="79"/>
      <c r="M128" s="79" t="str">
        <f>Table728182[[#This Row],[DBA]]&amp;" - "&amp;Table728182[[#This Row],[BIN]]&amp;" - "&amp;Table728182[[#This Row],[CAID]]</f>
        <v xml:space="preserve"> -  - </v>
      </c>
      <c r="N128" s="90"/>
    </row>
    <row r="129" spans="8:14" x14ac:dyDescent="0.25">
      <c r="H129" s="91"/>
      <c r="I129" s="91"/>
      <c r="J129" s="97"/>
      <c r="K129" s="79"/>
      <c r="L129" s="79"/>
      <c r="M129" s="79" t="str">
        <f>Table728182[[#This Row],[DBA]]&amp;" - "&amp;Table728182[[#This Row],[BIN]]&amp;" - "&amp;Table728182[[#This Row],[CAID]]</f>
        <v xml:space="preserve"> -  - </v>
      </c>
      <c r="N129" s="90"/>
    </row>
    <row r="130" spans="8:14" x14ac:dyDescent="0.25">
      <c r="H130" s="91"/>
      <c r="I130" s="91"/>
      <c r="J130" s="97"/>
      <c r="K130" s="79"/>
      <c r="L130" s="79"/>
      <c r="M130" s="79" t="str">
        <f>Table728182[[#This Row],[DBA]]&amp;" - "&amp;Table728182[[#This Row],[BIN]]&amp;" - "&amp;Table728182[[#This Row],[CAID]]</f>
        <v xml:space="preserve"> -  - </v>
      </c>
      <c r="N130" s="90"/>
    </row>
    <row r="131" spans="8:14" x14ac:dyDescent="0.25">
      <c r="H131" s="91"/>
      <c r="I131" s="91"/>
      <c r="J131" s="97"/>
      <c r="K131" s="79"/>
      <c r="L131" s="79"/>
      <c r="M131" s="79" t="str">
        <f>Table728182[[#This Row],[DBA]]&amp;" - "&amp;Table728182[[#This Row],[BIN]]&amp;" - "&amp;Table728182[[#This Row],[CAID]]</f>
        <v xml:space="preserve"> -  - </v>
      </c>
      <c r="N131" s="90"/>
    </row>
    <row r="132" spans="8:14" x14ac:dyDescent="0.25">
      <c r="H132" s="91"/>
      <c r="I132" s="91"/>
      <c r="J132" s="97"/>
      <c r="K132" s="79"/>
      <c r="L132" s="79"/>
      <c r="M132" s="79" t="str">
        <f>Table728182[[#This Row],[DBA]]&amp;" - "&amp;Table728182[[#This Row],[BIN]]&amp;" - "&amp;Table728182[[#This Row],[CAID]]</f>
        <v xml:space="preserve"> -  - </v>
      </c>
      <c r="N132" s="90"/>
    </row>
    <row r="133" spans="8:14" x14ac:dyDescent="0.25">
      <c r="H133" s="91"/>
      <c r="I133" s="91"/>
      <c r="J133" s="97"/>
      <c r="K133" s="79"/>
      <c r="L133" s="79"/>
      <c r="M133" s="79" t="str">
        <f>Table728182[[#This Row],[DBA]]&amp;" - "&amp;Table728182[[#This Row],[BIN]]&amp;" - "&amp;Table728182[[#This Row],[CAID]]</f>
        <v xml:space="preserve"> -  - </v>
      </c>
      <c r="N133" s="90"/>
    </row>
    <row r="134" spans="8:14" x14ac:dyDescent="0.25">
      <c r="H134" s="91"/>
      <c r="I134" s="91"/>
      <c r="J134" s="97"/>
      <c r="K134" s="79"/>
      <c r="L134" s="79"/>
      <c r="M134" s="79" t="str">
        <f>Table728182[[#This Row],[DBA]]&amp;" - "&amp;Table728182[[#This Row],[BIN]]&amp;" - "&amp;Table728182[[#This Row],[CAID]]</f>
        <v xml:space="preserve"> -  - </v>
      </c>
      <c r="N134" s="90"/>
    </row>
    <row r="135" spans="8:14" x14ac:dyDescent="0.25">
      <c r="H135" s="91"/>
      <c r="I135" s="91"/>
      <c r="J135" s="97"/>
      <c r="K135" s="79"/>
      <c r="L135" s="79"/>
      <c r="M135" s="79" t="str">
        <f>Table728182[[#This Row],[DBA]]&amp;" - "&amp;Table728182[[#This Row],[BIN]]&amp;" - "&amp;Table728182[[#This Row],[CAID]]</f>
        <v xml:space="preserve"> -  - </v>
      </c>
      <c r="N135" s="90"/>
    </row>
    <row r="136" spans="8:14" x14ac:dyDescent="0.25">
      <c r="H136" s="91"/>
      <c r="I136" s="91"/>
      <c r="J136" s="97"/>
      <c r="K136" s="79"/>
      <c r="L136" s="79"/>
      <c r="M136" s="79" t="str">
        <f>Table728182[[#This Row],[DBA]]&amp;" - "&amp;Table728182[[#This Row],[BIN]]&amp;" - "&amp;Table728182[[#This Row],[CAID]]</f>
        <v xml:space="preserve"> -  - </v>
      </c>
      <c r="N136" s="90"/>
    </row>
    <row r="137" spans="8:14" x14ac:dyDescent="0.25">
      <c r="H137" s="91"/>
      <c r="I137" s="91"/>
      <c r="J137" s="97"/>
      <c r="K137" s="79"/>
      <c r="L137" s="79"/>
      <c r="M137" s="79" t="str">
        <f>Table728182[[#This Row],[DBA]]&amp;" - "&amp;Table728182[[#This Row],[BIN]]&amp;" - "&amp;Table728182[[#This Row],[CAID]]</f>
        <v xml:space="preserve"> -  - </v>
      </c>
      <c r="N137" s="90"/>
    </row>
    <row r="138" spans="8:14" x14ac:dyDescent="0.25">
      <c r="H138" s="91"/>
      <c r="I138" s="91"/>
      <c r="J138" s="97"/>
      <c r="K138" s="79"/>
      <c r="L138" s="79"/>
      <c r="M138" s="79" t="str">
        <f>Table728182[[#This Row],[DBA]]&amp;" - "&amp;Table728182[[#This Row],[BIN]]&amp;" - "&amp;Table728182[[#This Row],[CAID]]</f>
        <v xml:space="preserve"> -  - </v>
      </c>
      <c r="N138" s="90"/>
    </row>
    <row r="139" spans="8:14" x14ac:dyDescent="0.25">
      <c r="H139" s="91"/>
      <c r="I139" s="91"/>
      <c r="J139" s="97"/>
      <c r="K139" s="79"/>
      <c r="L139" s="79"/>
      <c r="M139" s="79" t="str">
        <f>Table728182[[#This Row],[DBA]]&amp;" - "&amp;Table728182[[#This Row],[BIN]]&amp;" - "&amp;Table728182[[#This Row],[CAID]]</f>
        <v xml:space="preserve"> -  - </v>
      </c>
      <c r="N139" s="90"/>
    </row>
    <row r="140" spans="8:14" x14ac:dyDescent="0.25">
      <c r="H140" s="91"/>
      <c r="I140" s="91"/>
      <c r="J140" s="97"/>
      <c r="K140" s="79"/>
      <c r="L140" s="79"/>
      <c r="M140" s="79" t="str">
        <f>Table728182[[#This Row],[DBA]]&amp;" - "&amp;Table728182[[#This Row],[BIN]]&amp;" - "&amp;Table728182[[#This Row],[CAID]]</f>
        <v xml:space="preserve"> -  - </v>
      </c>
      <c r="N140" s="90"/>
    </row>
    <row r="141" spans="8:14" x14ac:dyDescent="0.25">
      <c r="H141" s="91"/>
      <c r="I141" s="91"/>
      <c r="J141" s="97"/>
      <c r="K141" s="79"/>
      <c r="L141" s="79"/>
      <c r="M141" s="79" t="str">
        <f>Table728182[[#This Row],[DBA]]&amp;" - "&amp;Table728182[[#This Row],[BIN]]&amp;" - "&amp;Table728182[[#This Row],[CAID]]</f>
        <v xml:space="preserve"> -  - </v>
      </c>
      <c r="N141" s="90"/>
    </row>
    <row r="142" spans="8:14" x14ac:dyDescent="0.25">
      <c r="H142" s="91"/>
      <c r="I142" s="91"/>
      <c r="J142" s="97"/>
      <c r="K142" s="79"/>
      <c r="L142" s="79"/>
      <c r="M142" s="79" t="str">
        <f>Table728182[[#This Row],[DBA]]&amp;" - "&amp;Table728182[[#This Row],[BIN]]&amp;" - "&amp;Table728182[[#This Row],[CAID]]</f>
        <v xml:space="preserve"> -  - </v>
      </c>
      <c r="N142" s="90"/>
    </row>
    <row r="143" spans="8:14" x14ac:dyDescent="0.25">
      <c r="H143" s="91"/>
      <c r="I143" s="91"/>
      <c r="J143" s="97"/>
      <c r="K143" s="79"/>
      <c r="L143" s="79"/>
      <c r="M143" s="79" t="str">
        <f>Table728182[[#This Row],[DBA]]&amp;" - "&amp;Table728182[[#This Row],[BIN]]&amp;" - "&amp;Table728182[[#This Row],[CAID]]</f>
        <v xml:space="preserve"> -  - </v>
      </c>
      <c r="N143" s="90"/>
    </row>
    <row r="144" spans="8:14" x14ac:dyDescent="0.25">
      <c r="H144" s="91"/>
      <c r="I144" s="91"/>
      <c r="J144" s="97"/>
      <c r="K144" s="79"/>
      <c r="L144" s="79"/>
      <c r="M144" s="79" t="str">
        <f>Table728182[[#This Row],[DBA]]&amp;" - "&amp;Table728182[[#This Row],[BIN]]&amp;" - "&amp;Table728182[[#This Row],[CAID]]</f>
        <v xml:space="preserve"> -  - </v>
      </c>
      <c r="N144" s="90"/>
    </row>
    <row r="145" spans="8:14" x14ac:dyDescent="0.25">
      <c r="H145" s="91"/>
      <c r="I145" s="91"/>
      <c r="J145" s="97"/>
      <c r="K145" s="79"/>
      <c r="L145" s="79"/>
      <c r="M145" s="79" t="str">
        <f>Table728182[[#This Row],[DBA]]&amp;" - "&amp;Table728182[[#This Row],[BIN]]&amp;" - "&amp;Table728182[[#This Row],[CAID]]</f>
        <v xml:space="preserve"> -  - </v>
      </c>
      <c r="N145" s="90"/>
    </row>
    <row r="146" spans="8:14" x14ac:dyDescent="0.25">
      <c r="H146" s="91"/>
      <c r="I146" s="91"/>
      <c r="J146" s="97"/>
      <c r="K146" s="79"/>
      <c r="L146" s="79"/>
      <c r="M146" s="79" t="str">
        <f>Table728182[[#This Row],[DBA]]&amp;" - "&amp;Table728182[[#This Row],[BIN]]&amp;" - "&amp;Table728182[[#This Row],[CAID]]</f>
        <v xml:space="preserve"> -  - </v>
      </c>
      <c r="N146" s="90"/>
    </row>
    <row r="147" spans="8:14" x14ac:dyDescent="0.25">
      <c r="H147" s="91"/>
      <c r="I147" s="91"/>
      <c r="J147" s="97"/>
      <c r="K147" s="79"/>
      <c r="L147" s="79"/>
      <c r="M147" s="79" t="str">
        <f>Table728182[[#This Row],[DBA]]&amp;" - "&amp;Table728182[[#This Row],[BIN]]&amp;" - "&amp;Table728182[[#This Row],[CAID]]</f>
        <v xml:space="preserve"> -  - </v>
      </c>
      <c r="N147" s="90"/>
    </row>
    <row r="148" spans="8:14" x14ac:dyDescent="0.25">
      <c r="H148" s="91"/>
      <c r="I148" s="91"/>
      <c r="J148" s="97"/>
      <c r="K148" s="79"/>
      <c r="L148" s="79"/>
      <c r="M148" s="79" t="str">
        <f>Table728182[[#This Row],[DBA]]&amp;" - "&amp;Table728182[[#This Row],[BIN]]&amp;" - "&amp;Table728182[[#This Row],[CAID]]</f>
        <v xml:space="preserve"> -  - </v>
      </c>
      <c r="N148" s="90"/>
    </row>
    <row r="149" spans="8:14" x14ac:dyDescent="0.25">
      <c r="H149" s="91"/>
      <c r="I149" s="91"/>
      <c r="J149" s="97"/>
      <c r="K149" s="79"/>
      <c r="L149" s="79"/>
      <c r="M149" s="79" t="str">
        <f>Table728182[[#This Row],[DBA]]&amp;" - "&amp;Table728182[[#This Row],[BIN]]&amp;" - "&amp;Table728182[[#This Row],[CAID]]</f>
        <v xml:space="preserve"> -  - </v>
      </c>
      <c r="N149" s="90"/>
    </row>
    <row r="150" spans="8:14" x14ac:dyDescent="0.25">
      <c r="H150" s="91"/>
      <c r="I150" s="91"/>
      <c r="J150" s="97"/>
      <c r="K150" s="79"/>
      <c r="L150" s="79"/>
      <c r="M150" s="79" t="str">
        <f>Table728182[[#This Row],[DBA]]&amp;" - "&amp;Table728182[[#This Row],[BIN]]&amp;" - "&amp;Table728182[[#This Row],[CAID]]</f>
        <v xml:space="preserve"> -  - </v>
      </c>
      <c r="N150" s="90"/>
    </row>
    <row r="151" spans="8:14" x14ac:dyDescent="0.25">
      <c r="H151" s="91"/>
      <c r="I151" s="91"/>
      <c r="J151" s="97"/>
      <c r="K151" s="79"/>
      <c r="L151" s="79"/>
      <c r="M151" s="79" t="str">
        <f>Table728182[[#This Row],[DBA]]&amp;" - "&amp;Table728182[[#This Row],[BIN]]&amp;" - "&amp;Table728182[[#This Row],[CAID]]</f>
        <v xml:space="preserve"> -  - </v>
      </c>
      <c r="N151" s="90"/>
    </row>
    <row r="152" spans="8:14" x14ac:dyDescent="0.25">
      <c r="H152" s="91"/>
      <c r="I152" s="91"/>
      <c r="J152" s="97"/>
      <c r="K152" s="79"/>
      <c r="L152" s="79"/>
      <c r="M152" s="79" t="str">
        <f>Table728182[[#This Row],[DBA]]&amp;" - "&amp;Table728182[[#This Row],[BIN]]&amp;" - "&amp;Table728182[[#This Row],[CAID]]</f>
        <v xml:space="preserve"> -  - </v>
      </c>
      <c r="N152" s="90"/>
    </row>
    <row r="153" spans="8:14" x14ac:dyDescent="0.25">
      <c r="H153" s="91"/>
      <c r="I153" s="91"/>
      <c r="J153" s="97"/>
      <c r="K153" s="79"/>
      <c r="L153" s="79"/>
      <c r="M153" s="79" t="str">
        <f>Table728182[[#This Row],[DBA]]&amp;" - "&amp;Table728182[[#This Row],[BIN]]&amp;" - "&amp;Table728182[[#This Row],[CAID]]</f>
        <v xml:space="preserve"> -  - </v>
      </c>
      <c r="N153" s="90"/>
    </row>
    <row r="154" spans="8:14" x14ac:dyDescent="0.25">
      <c r="H154" s="91"/>
      <c r="I154" s="91"/>
      <c r="J154" s="97"/>
      <c r="K154" s="79"/>
      <c r="L154" s="79"/>
      <c r="M154" s="79" t="str">
        <f>Table728182[[#This Row],[DBA]]&amp;" - "&amp;Table728182[[#This Row],[BIN]]&amp;" - "&amp;Table728182[[#This Row],[CAID]]</f>
        <v xml:space="preserve"> -  - </v>
      </c>
      <c r="N154" s="90"/>
    </row>
    <row r="155" spans="8:14" x14ac:dyDescent="0.25">
      <c r="H155" s="91"/>
      <c r="I155" s="91"/>
      <c r="J155" s="97"/>
      <c r="K155" s="79"/>
      <c r="L155" s="79"/>
      <c r="M155" s="79" t="str">
        <f>Table728182[[#This Row],[DBA]]&amp;" - "&amp;Table728182[[#This Row],[BIN]]&amp;" - "&amp;Table728182[[#This Row],[CAID]]</f>
        <v xml:space="preserve"> -  - </v>
      </c>
      <c r="N155" s="90"/>
    </row>
    <row r="156" spans="8:14" x14ac:dyDescent="0.25">
      <c r="H156" s="91"/>
      <c r="I156" s="91"/>
      <c r="J156" s="97"/>
      <c r="K156" s="79"/>
      <c r="L156" s="79"/>
      <c r="M156" s="79" t="str">
        <f>Table728182[[#This Row],[DBA]]&amp;" - "&amp;Table728182[[#This Row],[BIN]]&amp;" - "&amp;Table728182[[#This Row],[CAID]]</f>
        <v xml:space="preserve"> -  - </v>
      </c>
      <c r="N156" s="90"/>
    </row>
    <row r="157" spans="8:14" x14ac:dyDescent="0.25">
      <c r="H157" s="91"/>
      <c r="I157" s="91"/>
      <c r="J157" s="97"/>
      <c r="K157" s="79"/>
      <c r="L157" s="79"/>
      <c r="M157" s="79" t="str">
        <f>Table728182[[#This Row],[DBA]]&amp;" - "&amp;Table728182[[#This Row],[BIN]]&amp;" - "&amp;Table728182[[#This Row],[CAID]]</f>
        <v xml:space="preserve"> -  - </v>
      </c>
      <c r="N157" s="90"/>
    </row>
    <row r="158" spans="8:14" x14ac:dyDescent="0.25">
      <c r="H158" s="91"/>
      <c r="I158" s="91"/>
      <c r="J158" s="97"/>
      <c r="K158" s="79"/>
      <c r="L158" s="79"/>
      <c r="M158" s="79" t="str">
        <f>Table728182[[#This Row],[DBA]]&amp;" - "&amp;Table728182[[#This Row],[BIN]]&amp;" - "&amp;Table728182[[#This Row],[CAID]]</f>
        <v xml:space="preserve"> -  - </v>
      </c>
      <c r="N158" s="90"/>
    </row>
    <row r="159" spans="8:14" x14ac:dyDescent="0.25">
      <c r="H159" s="91"/>
      <c r="I159" s="91"/>
      <c r="J159" s="97"/>
      <c r="K159" s="79"/>
      <c r="L159" s="79"/>
      <c r="M159" s="79" t="str">
        <f>Table728182[[#This Row],[DBA]]&amp;" - "&amp;Table728182[[#This Row],[BIN]]&amp;" - "&amp;Table728182[[#This Row],[CAID]]</f>
        <v xml:space="preserve"> -  - </v>
      </c>
      <c r="N159" s="90"/>
    </row>
    <row r="160" spans="8:14" x14ac:dyDescent="0.25">
      <c r="H160" s="91"/>
      <c r="I160" s="91"/>
      <c r="J160" s="97"/>
      <c r="K160" s="79"/>
      <c r="L160" s="79"/>
      <c r="M160" s="79" t="str">
        <f>Table728182[[#This Row],[DBA]]&amp;" - "&amp;Table728182[[#This Row],[BIN]]&amp;" - "&amp;Table728182[[#This Row],[CAID]]</f>
        <v xml:space="preserve"> -  - </v>
      </c>
      <c r="N160" s="90"/>
    </row>
    <row r="161" spans="8:14" x14ac:dyDescent="0.25">
      <c r="H161" s="91"/>
      <c r="I161" s="91"/>
      <c r="J161" s="97"/>
      <c r="K161" s="79"/>
      <c r="L161" s="79"/>
      <c r="M161" s="79" t="str">
        <f>Table728182[[#This Row],[DBA]]&amp;" - "&amp;Table728182[[#This Row],[BIN]]&amp;" - "&amp;Table728182[[#This Row],[CAID]]</f>
        <v xml:space="preserve"> -  - </v>
      </c>
      <c r="N161" s="90"/>
    </row>
    <row r="162" spans="8:14" x14ac:dyDescent="0.25">
      <c r="H162" s="91"/>
      <c r="I162" s="91"/>
      <c r="J162" s="97"/>
      <c r="K162" s="79"/>
      <c r="L162" s="79"/>
      <c r="M162" s="79" t="str">
        <f>Table728182[[#This Row],[DBA]]&amp;" - "&amp;Table728182[[#This Row],[BIN]]&amp;" - "&amp;Table728182[[#This Row],[CAID]]</f>
        <v xml:space="preserve"> -  - </v>
      </c>
      <c r="N162" s="90"/>
    </row>
    <row r="163" spans="8:14" x14ac:dyDescent="0.25">
      <c r="H163" s="91"/>
      <c r="I163" s="91"/>
      <c r="J163" s="97"/>
      <c r="K163" s="79"/>
      <c r="L163" s="79"/>
      <c r="M163" s="79" t="str">
        <f>Table728182[[#This Row],[DBA]]&amp;" - "&amp;Table728182[[#This Row],[BIN]]&amp;" - "&amp;Table728182[[#This Row],[CAID]]</f>
        <v xml:space="preserve"> -  - </v>
      </c>
      <c r="N163" s="90"/>
    </row>
    <row r="164" spans="8:14" x14ac:dyDescent="0.25">
      <c r="H164" s="91"/>
      <c r="I164" s="91"/>
      <c r="J164" s="97"/>
      <c r="K164" s="79"/>
      <c r="L164" s="79"/>
      <c r="M164" s="79" t="str">
        <f>Table728182[[#This Row],[DBA]]&amp;" - "&amp;Table728182[[#This Row],[BIN]]&amp;" - "&amp;Table728182[[#This Row],[CAID]]</f>
        <v xml:space="preserve"> -  - </v>
      </c>
      <c r="N164" s="90"/>
    </row>
    <row r="165" spans="8:14" x14ac:dyDescent="0.25">
      <c r="H165" s="91"/>
      <c r="I165" s="91"/>
      <c r="J165" s="97"/>
      <c r="K165" s="79"/>
      <c r="L165" s="79"/>
      <c r="M165" s="79" t="str">
        <f>Table728182[[#This Row],[DBA]]&amp;" - "&amp;Table728182[[#This Row],[BIN]]&amp;" - "&amp;Table728182[[#This Row],[CAID]]</f>
        <v xml:space="preserve"> -  - </v>
      </c>
      <c r="N165" s="90"/>
    </row>
    <row r="166" spans="8:14" x14ac:dyDescent="0.25">
      <c r="H166" s="91"/>
      <c r="I166" s="91"/>
      <c r="J166" s="97"/>
      <c r="K166" s="79"/>
      <c r="L166" s="79"/>
      <c r="M166" s="79" t="str">
        <f>Table728182[[#This Row],[DBA]]&amp;" - "&amp;Table728182[[#This Row],[BIN]]&amp;" - "&amp;Table728182[[#This Row],[CAID]]</f>
        <v xml:space="preserve"> -  - </v>
      </c>
      <c r="N166" s="90"/>
    </row>
    <row r="167" spans="8:14" x14ac:dyDescent="0.25">
      <c r="H167" s="91"/>
      <c r="I167" s="91"/>
      <c r="J167" s="97"/>
      <c r="K167" s="79"/>
      <c r="L167" s="79"/>
      <c r="M167" s="79" t="str">
        <f>Table728182[[#This Row],[DBA]]&amp;" - "&amp;Table728182[[#This Row],[BIN]]&amp;" - "&amp;Table728182[[#This Row],[CAID]]</f>
        <v xml:space="preserve"> -  - </v>
      </c>
      <c r="N167" s="90"/>
    </row>
    <row r="168" spans="8:14" x14ac:dyDescent="0.25">
      <c r="H168" s="91"/>
      <c r="I168" s="91"/>
      <c r="J168" s="97"/>
      <c r="K168" s="79"/>
      <c r="L168" s="79"/>
      <c r="M168" s="79" t="str">
        <f>Table728182[[#This Row],[DBA]]&amp;" - "&amp;Table728182[[#This Row],[BIN]]&amp;" - "&amp;Table728182[[#This Row],[CAID]]</f>
        <v xml:space="preserve"> -  - </v>
      </c>
      <c r="N168" s="90"/>
    </row>
    <row r="169" spans="8:14" x14ac:dyDescent="0.25">
      <c r="H169" s="91"/>
      <c r="I169" s="91"/>
      <c r="J169" s="97"/>
      <c r="K169" s="79"/>
      <c r="L169" s="79"/>
      <c r="M169" s="79" t="str">
        <f>Table728182[[#This Row],[DBA]]&amp;" - "&amp;Table728182[[#This Row],[BIN]]&amp;" - "&amp;Table728182[[#This Row],[CAID]]</f>
        <v xml:space="preserve"> -  - </v>
      </c>
      <c r="N169" s="90"/>
    </row>
    <row r="170" spans="8:14" x14ac:dyDescent="0.25">
      <c r="H170" s="91"/>
      <c r="I170" s="91"/>
      <c r="J170" s="97"/>
      <c r="K170" s="79"/>
      <c r="L170" s="79"/>
      <c r="M170" s="79" t="str">
        <f>Table728182[[#This Row],[DBA]]&amp;" - "&amp;Table728182[[#This Row],[BIN]]&amp;" - "&amp;Table728182[[#This Row],[CAID]]</f>
        <v xml:space="preserve"> -  - </v>
      </c>
      <c r="N170" s="90"/>
    </row>
    <row r="171" spans="8:14" x14ac:dyDescent="0.25">
      <c r="H171" s="91"/>
      <c r="I171" s="91"/>
      <c r="J171" s="97"/>
      <c r="K171" s="79"/>
      <c r="L171" s="79"/>
      <c r="M171" s="79" t="str">
        <f>Table728182[[#This Row],[DBA]]&amp;" - "&amp;Table728182[[#This Row],[BIN]]&amp;" - "&amp;Table728182[[#This Row],[CAID]]</f>
        <v xml:space="preserve"> -  - </v>
      </c>
      <c r="N171" s="90"/>
    </row>
    <row r="172" spans="8:14" x14ac:dyDescent="0.25">
      <c r="H172" s="91"/>
      <c r="I172" s="91"/>
      <c r="J172" s="97"/>
      <c r="K172" s="79"/>
      <c r="L172" s="79"/>
      <c r="M172" s="79" t="str">
        <f>Table728182[[#This Row],[DBA]]&amp;" - "&amp;Table728182[[#This Row],[BIN]]&amp;" - "&amp;Table728182[[#This Row],[CAID]]</f>
        <v xml:space="preserve"> -  - </v>
      </c>
      <c r="N172" s="90"/>
    </row>
    <row r="173" spans="8:14" x14ac:dyDescent="0.25">
      <c r="H173" s="91"/>
      <c r="I173" s="91"/>
      <c r="J173" s="97"/>
      <c r="K173" s="79"/>
      <c r="L173" s="79"/>
      <c r="M173" s="79" t="str">
        <f>Table728182[[#This Row],[DBA]]&amp;" - "&amp;Table728182[[#This Row],[BIN]]&amp;" - "&amp;Table728182[[#This Row],[CAID]]</f>
        <v xml:space="preserve"> -  - </v>
      </c>
      <c r="N173" s="90"/>
    </row>
    <row r="174" spans="8:14" x14ac:dyDescent="0.25">
      <c r="H174" s="91"/>
      <c r="I174" s="91"/>
      <c r="J174" s="97"/>
      <c r="K174" s="79"/>
      <c r="L174" s="79"/>
      <c r="M174" s="79" t="str">
        <f>Table728182[[#This Row],[DBA]]&amp;" - "&amp;Table728182[[#This Row],[BIN]]&amp;" - "&amp;Table728182[[#This Row],[CAID]]</f>
        <v xml:space="preserve"> -  - </v>
      </c>
      <c r="N174" s="90"/>
    </row>
    <row r="175" spans="8:14" x14ac:dyDescent="0.25">
      <c r="H175" s="91"/>
      <c r="I175" s="91"/>
      <c r="J175" s="97"/>
      <c r="K175" s="79"/>
      <c r="L175" s="79"/>
      <c r="M175" s="79" t="str">
        <f>Table728182[[#This Row],[DBA]]&amp;" - "&amp;Table728182[[#This Row],[BIN]]&amp;" - "&amp;Table728182[[#This Row],[CAID]]</f>
        <v xml:space="preserve"> -  - </v>
      </c>
      <c r="N175" s="90"/>
    </row>
    <row r="176" spans="8:14" x14ac:dyDescent="0.25">
      <c r="H176" s="91"/>
      <c r="I176" s="91"/>
      <c r="J176" s="97"/>
      <c r="K176" s="79"/>
      <c r="L176" s="79"/>
      <c r="M176" s="79" t="str">
        <f>Table728182[[#This Row],[DBA]]&amp;" - "&amp;Table728182[[#This Row],[BIN]]&amp;" - "&amp;Table728182[[#This Row],[CAID]]</f>
        <v xml:space="preserve"> -  - </v>
      </c>
      <c r="N176" s="90"/>
    </row>
    <row r="177" spans="8:14" x14ac:dyDescent="0.25">
      <c r="H177" s="91"/>
      <c r="I177" s="91"/>
      <c r="J177" s="97"/>
      <c r="K177" s="79"/>
      <c r="L177" s="79"/>
      <c r="M177" s="79" t="str">
        <f>Table728182[[#This Row],[DBA]]&amp;" - "&amp;Table728182[[#This Row],[BIN]]&amp;" - "&amp;Table728182[[#This Row],[CAID]]</f>
        <v xml:space="preserve"> -  - </v>
      </c>
      <c r="N177" s="90"/>
    </row>
    <row r="178" spans="8:14" x14ac:dyDescent="0.25">
      <c r="H178" s="91"/>
      <c r="I178" s="91"/>
      <c r="J178" s="97"/>
      <c r="K178" s="79"/>
      <c r="L178" s="79"/>
      <c r="M178" s="79" t="str">
        <f>Table728182[[#This Row],[DBA]]&amp;" - "&amp;Table728182[[#This Row],[BIN]]&amp;" - "&amp;Table728182[[#This Row],[CAID]]</f>
        <v xml:space="preserve"> -  - </v>
      </c>
      <c r="N178" s="90"/>
    </row>
    <row r="179" spans="8:14" x14ac:dyDescent="0.25">
      <c r="H179" s="91"/>
      <c r="I179" s="91"/>
      <c r="J179" s="97"/>
      <c r="K179" s="79"/>
      <c r="L179" s="79"/>
      <c r="M179" s="79" t="str">
        <f>Table728182[[#This Row],[DBA]]&amp;" - "&amp;Table728182[[#This Row],[BIN]]&amp;" - "&amp;Table728182[[#This Row],[CAID]]</f>
        <v xml:space="preserve"> -  - </v>
      </c>
      <c r="N179" s="90"/>
    </row>
    <row r="180" spans="8:14" x14ac:dyDescent="0.25">
      <c r="H180" s="91"/>
      <c r="I180" s="91"/>
      <c r="J180" s="97"/>
      <c r="K180" s="79"/>
      <c r="L180" s="79"/>
      <c r="M180" s="79" t="str">
        <f>Table728182[[#This Row],[DBA]]&amp;" - "&amp;Table728182[[#This Row],[BIN]]&amp;" - "&amp;Table728182[[#This Row],[CAID]]</f>
        <v xml:space="preserve"> -  - </v>
      </c>
      <c r="N180" s="90"/>
    </row>
    <row r="181" spans="8:14" x14ac:dyDescent="0.25">
      <c r="H181" s="91"/>
      <c r="I181" s="91"/>
      <c r="J181" s="97"/>
      <c r="K181" s="79"/>
      <c r="L181" s="79"/>
      <c r="M181" s="79" t="str">
        <f>Table728182[[#This Row],[DBA]]&amp;" - "&amp;Table728182[[#This Row],[BIN]]&amp;" - "&amp;Table728182[[#This Row],[CAID]]</f>
        <v xml:space="preserve"> -  - </v>
      </c>
      <c r="N181" s="90"/>
    </row>
    <row r="182" spans="8:14" x14ac:dyDescent="0.25">
      <c r="H182" s="91"/>
      <c r="I182" s="91"/>
      <c r="J182" s="97"/>
      <c r="K182" s="79"/>
      <c r="L182" s="79"/>
      <c r="M182" s="79" t="str">
        <f>Table728182[[#This Row],[DBA]]&amp;" - "&amp;Table728182[[#This Row],[BIN]]&amp;" - "&amp;Table728182[[#This Row],[CAID]]</f>
        <v xml:space="preserve"> -  - </v>
      </c>
      <c r="N182" s="90"/>
    </row>
    <row r="183" spans="8:14" x14ac:dyDescent="0.25">
      <c r="H183" s="91"/>
      <c r="I183" s="91"/>
      <c r="J183" s="97"/>
      <c r="K183" s="79"/>
      <c r="L183" s="79"/>
      <c r="M183" s="79" t="str">
        <f>Table728182[[#This Row],[DBA]]&amp;" - "&amp;Table728182[[#This Row],[BIN]]&amp;" - "&amp;Table728182[[#This Row],[CAID]]</f>
        <v xml:space="preserve"> -  - </v>
      </c>
      <c r="N183" s="90"/>
    </row>
    <row r="184" spans="8:14" x14ac:dyDescent="0.25">
      <c r="H184" s="91"/>
      <c r="I184" s="91"/>
      <c r="J184" s="97"/>
      <c r="K184" s="79"/>
      <c r="L184" s="79"/>
      <c r="M184" s="79" t="str">
        <f>Table728182[[#This Row],[DBA]]&amp;" - "&amp;Table728182[[#This Row],[BIN]]&amp;" - "&amp;Table728182[[#This Row],[CAID]]</f>
        <v xml:space="preserve"> -  - </v>
      </c>
      <c r="N184" s="90"/>
    </row>
    <row r="185" spans="8:14" x14ac:dyDescent="0.25">
      <c r="H185" s="91"/>
      <c r="I185" s="91"/>
      <c r="J185" s="97"/>
      <c r="K185" s="79"/>
      <c r="L185" s="79"/>
      <c r="M185" s="79" t="str">
        <f>Table728182[[#This Row],[DBA]]&amp;" - "&amp;Table728182[[#This Row],[BIN]]&amp;" - "&amp;Table728182[[#This Row],[CAID]]</f>
        <v xml:space="preserve"> -  - </v>
      </c>
      <c r="N185" s="90"/>
    </row>
    <row r="186" spans="8:14" x14ac:dyDescent="0.25">
      <c r="H186" s="91"/>
      <c r="I186" s="91"/>
      <c r="J186" s="97"/>
      <c r="K186" s="79"/>
      <c r="L186" s="79"/>
      <c r="M186" s="79" t="str">
        <f>Table728182[[#This Row],[DBA]]&amp;" - "&amp;Table728182[[#This Row],[BIN]]&amp;" - "&amp;Table728182[[#This Row],[CAID]]</f>
        <v xml:space="preserve"> -  - </v>
      </c>
      <c r="N186" s="90"/>
    </row>
    <row r="187" spans="8:14" x14ac:dyDescent="0.25">
      <c r="H187" s="91"/>
      <c r="I187" s="91"/>
      <c r="J187" s="97"/>
      <c r="K187" s="79"/>
      <c r="L187" s="79"/>
      <c r="M187" s="79" t="str">
        <f>Table728182[[#This Row],[DBA]]&amp;" - "&amp;Table728182[[#This Row],[BIN]]&amp;" - "&amp;Table728182[[#This Row],[CAID]]</f>
        <v xml:space="preserve"> -  - </v>
      </c>
      <c r="N187" s="90"/>
    </row>
    <row r="188" spans="8:14" x14ac:dyDescent="0.25">
      <c r="H188" s="91"/>
      <c r="I188" s="91"/>
      <c r="J188" s="97"/>
      <c r="K188" s="79"/>
      <c r="L188" s="79"/>
      <c r="M188" s="79" t="str">
        <f>Table728182[[#This Row],[DBA]]&amp;" - "&amp;Table728182[[#This Row],[BIN]]&amp;" - "&amp;Table728182[[#This Row],[CAID]]</f>
        <v xml:space="preserve"> -  - </v>
      </c>
      <c r="N188" s="90"/>
    </row>
    <row r="189" spans="8:14" x14ac:dyDescent="0.25">
      <c r="H189" s="91"/>
      <c r="I189" s="91"/>
      <c r="J189" s="97"/>
      <c r="K189" s="79"/>
      <c r="L189" s="79"/>
      <c r="M189" s="79" t="str">
        <f>Table728182[[#This Row],[DBA]]&amp;" - "&amp;Table728182[[#This Row],[BIN]]&amp;" - "&amp;Table728182[[#This Row],[CAID]]</f>
        <v xml:space="preserve"> -  - </v>
      </c>
      <c r="N189" s="90"/>
    </row>
    <row r="190" spans="8:14" x14ac:dyDescent="0.25">
      <c r="H190" s="91"/>
      <c r="I190" s="91"/>
      <c r="J190" s="97"/>
      <c r="K190" s="79"/>
      <c r="L190" s="79"/>
      <c r="M190" s="79" t="str">
        <f>Table728182[[#This Row],[DBA]]&amp;" - "&amp;Table728182[[#This Row],[BIN]]&amp;" - "&amp;Table728182[[#This Row],[CAID]]</f>
        <v xml:space="preserve"> -  - </v>
      </c>
      <c r="N190" s="90"/>
    </row>
    <row r="191" spans="8:14" x14ac:dyDescent="0.25">
      <c r="H191" s="91"/>
      <c r="I191" s="91"/>
      <c r="J191" s="97"/>
      <c r="K191" s="79"/>
      <c r="L191" s="79"/>
      <c r="M191" s="79" t="str">
        <f>Table728182[[#This Row],[DBA]]&amp;" - "&amp;Table728182[[#This Row],[BIN]]&amp;" - "&amp;Table728182[[#This Row],[CAID]]</f>
        <v xml:space="preserve"> -  - </v>
      </c>
      <c r="N191" s="90"/>
    </row>
    <row r="192" spans="8:14" x14ac:dyDescent="0.25">
      <c r="H192" s="91"/>
      <c r="I192" s="91"/>
      <c r="J192" s="97"/>
      <c r="K192" s="79"/>
      <c r="L192" s="79"/>
      <c r="M192" s="79" t="str">
        <f>Table728182[[#This Row],[DBA]]&amp;" - "&amp;Table728182[[#This Row],[BIN]]&amp;" - "&amp;Table728182[[#This Row],[CAID]]</f>
        <v xml:space="preserve"> -  - </v>
      </c>
      <c r="N192" s="90"/>
    </row>
    <row r="193" spans="8:14" x14ac:dyDescent="0.25">
      <c r="H193" s="91"/>
      <c r="I193" s="91"/>
      <c r="J193" s="97"/>
      <c r="K193" s="79"/>
      <c r="L193" s="79"/>
      <c r="M193" s="79" t="str">
        <f>Table728182[[#This Row],[DBA]]&amp;" - "&amp;Table728182[[#This Row],[BIN]]&amp;" - "&amp;Table728182[[#This Row],[CAID]]</f>
        <v xml:space="preserve"> -  - </v>
      </c>
      <c r="N193" s="90"/>
    </row>
    <row r="194" spans="8:14" x14ac:dyDescent="0.25">
      <c r="H194" s="91"/>
      <c r="I194" s="91"/>
      <c r="J194" s="97"/>
      <c r="K194" s="79"/>
      <c r="L194" s="79"/>
      <c r="M194" s="79" t="str">
        <f>Table728182[[#This Row],[DBA]]&amp;" - "&amp;Table728182[[#This Row],[BIN]]&amp;" - "&amp;Table728182[[#This Row],[CAID]]</f>
        <v xml:space="preserve"> -  - </v>
      </c>
      <c r="N194" s="90"/>
    </row>
    <row r="195" spans="8:14" x14ac:dyDescent="0.25">
      <c r="H195" s="91"/>
      <c r="I195" s="91"/>
      <c r="J195" s="97"/>
      <c r="K195" s="79"/>
      <c r="L195" s="79"/>
      <c r="M195" s="79" t="str">
        <f>Table728182[[#This Row],[DBA]]&amp;" - "&amp;Table728182[[#This Row],[BIN]]&amp;" - "&amp;Table728182[[#This Row],[CAID]]</f>
        <v xml:space="preserve"> -  - </v>
      </c>
      <c r="N195" s="90"/>
    </row>
    <row r="196" spans="8:14" x14ac:dyDescent="0.25">
      <c r="H196" s="91"/>
      <c r="I196" s="91"/>
      <c r="J196" s="97"/>
      <c r="K196" s="79"/>
      <c r="L196" s="79"/>
      <c r="M196" s="79" t="str">
        <f>Table728182[[#This Row],[DBA]]&amp;" - "&amp;Table728182[[#This Row],[BIN]]&amp;" - "&amp;Table728182[[#This Row],[CAID]]</f>
        <v xml:space="preserve"> -  - </v>
      </c>
      <c r="N196" s="90"/>
    </row>
    <row r="197" spans="8:14" x14ac:dyDescent="0.25">
      <c r="H197" s="91"/>
      <c r="I197" s="91"/>
      <c r="J197" s="97"/>
      <c r="K197" s="79"/>
      <c r="L197" s="79"/>
      <c r="M197" s="79" t="str">
        <f>Table728182[[#This Row],[DBA]]&amp;" - "&amp;Table728182[[#This Row],[BIN]]&amp;" - "&amp;Table728182[[#This Row],[CAID]]</f>
        <v xml:space="preserve"> -  - </v>
      </c>
      <c r="N197" s="90"/>
    </row>
    <row r="198" spans="8:14" x14ac:dyDescent="0.25">
      <c r="H198" s="91"/>
      <c r="I198" s="91"/>
      <c r="J198" s="97"/>
      <c r="K198" s="79"/>
      <c r="L198" s="79"/>
      <c r="M198" s="79" t="str">
        <f>Table728182[[#This Row],[DBA]]&amp;" - "&amp;Table728182[[#This Row],[BIN]]&amp;" - "&amp;Table728182[[#This Row],[CAID]]</f>
        <v xml:space="preserve"> -  - </v>
      </c>
      <c r="N198" s="90"/>
    </row>
    <row r="199" spans="8:14" x14ac:dyDescent="0.25">
      <c r="H199" s="91"/>
      <c r="I199" s="91"/>
      <c r="J199" s="97"/>
      <c r="K199" s="79"/>
      <c r="L199" s="79"/>
      <c r="M199" s="79" t="str">
        <f>Table728182[[#This Row],[DBA]]&amp;" - "&amp;Table728182[[#This Row],[BIN]]&amp;" - "&amp;Table728182[[#This Row],[CAID]]</f>
        <v xml:space="preserve"> -  - </v>
      </c>
      <c r="N199" s="90"/>
    </row>
    <row r="200" spans="8:14" x14ac:dyDescent="0.25">
      <c r="H200" s="91"/>
      <c r="I200" s="91"/>
      <c r="J200" s="97"/>
      <c r="K200" s="79"/>
      <c r="L200" s="79"/>
      <c r="M200" s="79" t="str">
        <f>Table728182[[#This Row],[DBA]]&amp;" - "&amp;Table728182[[#This Row],[BIN]]&amp;" - "&amp;Table728182[[#This Row],[CAID]]</f>
        <v xml:space="preserve"> -  - </v>
      </c>
      <c r="N200" s="90"/>
    </row>
    <row r="201" spans="8:14" x14ac:dyDescent="0.25">
      <c r="H201" s="91"/>
      <c r="I201" s="91"/>
      <c r="J201" s="97"/>
      <c r="K201" s="79"/>
      <c r="L201" s="79"/>
      <c r="M201" s="79" t="str">
        <f>Table728182[[#This Row],[DBA]]&amp;" - "&amp;Table728182[[#This Row],[BIN]]&amp;" - "&amp;Table728182[[#This Row],[CAID]]</f>
        <v xml:space="preserve"> -  - </v>
      </c>
      <c r="N201" s="90"/>
    </row>
    <row r="202" spans="8:14" x14ac:dyDescent="0.25">
      <c r="H202" s="91"/>
      <c r="I202" s="91"/>
      <c r="J202" s="97"/>
      <c r="K202" s="79"/>
      <c r="L202" s="79"/>
      <c r="M202" s="79" t="str">
        <f>Table728182[[#This Row],[DBA]]&amp;" - "&amp;Table728182[[#This Row],[BIN]]&amp;" - "&amp;Table728182[[#This Row],[CAID]]</f>
        <v xml:space="preserve"> -  - </v>
      </c>
      <c r="N202" s="90"/>
    </row>
    <row r="203" spans="8:14" x14ac:dyDescent="0.25">
      <c r="H203" s="91"/>
      <c r="I203" s="91"/>
      <c r="J203" s="97"/>
      <c r="K203" s="79"/>
      <c r="L203" s="79"/>
      <c r="M203" s="79" t="str">
        <f>Table728182[[#This Row],[DBA]]&amp;" - "&amp;Table728182[[#This Row],[BIN]]&amp;" - "&amp;Table728182[[#This Row],[CAID]]</f>
        <v xml:space="preserve"> -  - </v>
      </c>
      <c r="N203" s="90"/>
    </row>
    <row r="204" spans="8:14" x14ac:dyDescent="0.25">
      <c r="H204" s="91"/>
      <c r="I204" s="91"/>
      <c r="J204" s="97"/>
      <c r="K204" s="79"/>
      <c r="L204" s="79"/>
      <c r="M204" s="79" t="str">
        <f>Table728182[[#This Row],[DBA]]&amp;" - "&amp;Table728182[[#This Row],[BIN]]&amp;" - "&amp;Table728182[[#This Row],[CAID]]</f>
        <v xml:space="preserve"> -  - </v>
      </c>
      <c r="N204" s="90"/>
    </row>
    <row r="205" spans="8:14" x14ac:dyDescent="0.25">
      <c r="H205" s="91"/>
      <c r="I205" s="91"/>
      <c r="J205" s="97"/>
      <c r="K205" s="79"/>
      <c r="L205" s="79"/>
      <c r="M205" s="79" t="str">
        <f>Table728182[[#This Row],[DBA]]&amp;" - "&amp;Table728182[[#This Row],[BIN]]&amp;" - "&amp;Table728182[[#This Row],[CAID]]</f>
        <v xml:space="preserve"> -  - </v>
      </c>
      <c r="N205" s="90"/>
    </row>
    <row r="206" spans="8:14" x14ac:dyDescent="0.25">
      <c r="H206" s="91"/>
      <c r="I206" s="91"/>
      <c r="J206" s="97"/>
      <c r="K206" s="79"/>
      <c r="L206" s="79"/>
      <c r="M206" s="79" t="str">
        <f>Table728182[[#This Row],[DBA]]&amp;" - "&amp;Table728182[[#This Row],[BIN]]&amp;" - "&amp;Table728182[[#This Row],[CAID]]</f>
        <v xml:space="preserve"> -  - </v>
      </c>
      <c r="N206" s="90"/>
    </row>
    <row r="207" spans="8:14" x14ac:dyDescent="0.25">
      <c r="H207" s="91"/>
      <c r="I207" s="91"/>
      <c r="J207" s="97"/>
      <c r="K207" s="79"/>
      <c r="L207" s="79"/>
      <c r="M207" s="79" t="str">
        <f>Table728182[[#This Row],[DBA]]&amp;" - "&amp;Table728182[[#This Row],[BIN]]&amp;" - "&amp;Table728182[[#This Row],[CAID]]</f>
        <v xml:space="preserve"> -  - </v>
      </c>
      <c r="N207" s="90"/>
    </row>
    <row r="208" spans="8:14" x14ac:dyDescent="0.25">
      <c r="H208" s="91"/>
      <c r="I208" s="91"/>
      <c r="J208" s="97"/>
      <c r="K208" s="79"/>
      <c r="L208" s="79"/>
      <c r="M208" s="79" t="str">
        <f>Table728182[[#This Row],[DBA]]&amp;" - "&amp;Table728182[[#This Row],[BIN]]&amp;" - "&amp;Table728182[[#This Row],[CAID]]</f>
        <v xml:space="preserve"> -  - </v>
      </c>
      <c r="N208" s="90"/>
    </row>
    <row r="209" spans="8:14" x14ac:dyDescent="0.25">
      <c r="H209" s="91"/>
      <c r="I209" s="91"/>
      <c r="J209" s="97"/>
      <c r="K209" s="79"/>
      <c r="L209" s="79"/>
      <c r="M209" s="79" t="str">
        <f>Table728182[[#This Row],[DBA]]&amp;" - "&amp;Table728182[[#This Row],[BIN]]&amp;" - "&amp;Table728182[[#This Row],[CAID]]</f>
        <v xml:space="preserve"> -  - </v>
      </c>
      <c r="N209" s="90"/>
    </row>
    <row r="210" spans="8:14" x14ac:dyDescent="0.25">
      <c r="H210" s="91"/>
      <c r="I210" s="91"/>
      <c r="J210" s="97"/>
      <c r="K210" s="79"/>
      <c r="L210" s="79"/>
      <c r="M210" s="79" t="str">
        <f>Table728182[[#This Row],[DBA]]&amp;" - "&amp;Table728182[[#This Row],[BIN]]&amp;" - "&amp;Table728182[[#This Row],[CAID]]</f>
        <v xml:space="preserve"> -  - </v>
      </c>
      <c r="N210" s="90"/>
    </row>
    <row r="211" spans="8:14" x14ac:dyDescent="0.25">
      <c r="H211" s="91"/>
      <c r="I211" s="91"/>
      <c r="J211" s="97"/>
      <c r="K211" s="79"/>
      <c r="L211" s="79"/>
      <c r="M211" s="79" t="str">
        <f>Table728182[[#This Row],[DBA]]&amp;" - "&amp;Table728182[[#This Row],[BIN]]&amp;" - "&amp;Table728182[[#This Row],[CAID]]</f>
        <v xml:space="preserve"> -  - </v>
      </c>
      <c r="N211" s="90"/>
    </row>
    <row r="212" spans="8:14" x14ac:dyDescent="0.25">
      <c r="H212" s="91"/>
      <c r="I212" s="91"/>
      <c r="J212" s="97"/>
      <c r="K212" s="79"/>
      <c r="L212" s="79"/>
      <c r="M212" s="79" t="str">
        <f>Table728182[[#This Row],[DBA]]&amp;" - "&amp;Table728182[[#This Row],[BIN]]&amp;" - "&amp;Table728182[[#This Row],[CAID]]</f>
        <v xml:space="preserve"> -  - </v>
      </c>
      <c r="N212" s="90"/>
    </row>
    <row r="213" spans="8:14" x14ac:dyDescent="0.25">
      <c r="H213" s="91"/>
      <c r="I213" s="91"/>
      <c r="J213" s="97"/>
      <c r="K213" s="79"/>
      <c r="L213" s="79"/>
      <c r="M213" s="79" t="str">
        <f>Table728182[[#This Row],[DBA]]&amp;" - "&amp;Table728182[[#This Row],[BIN]]&amp;" - "&amp;Table728182[[#This Row],[CAID]]</f>
        <v xml:space="preserve"> -  - </v>
      </c>
      <c r="N213" s="90"/>
    </row>
    <row r="214" spans="8:14" x14ac:dyDescent="0.25">
      <c r="H214" s="91"/>
      <c r="I214" s="91"/>
      <c r="J214" s="97"/>
      <c r="K214" s="79"/>
      <c r="L214" s="79"/>
      <c r="M214" s="79" t="str">
        <f>Table728182[[#This Row],[DBA]]&amp;" - "&amp;Table728182[[#This Row],[BIN]]&amp;" - "&amp;Table728182[[#This Row],[CAID]]</f>
        <v xml:space="preserve"> -  - </v>
      </c>
      <c r="N214" s="90"/>
    </row>
    <row r="215" spans="8:14" x14ac:dyDescent="0.25">
      <c r="H215" s="91"/>
      <c r="I215" s="91"/>
      <c r="J215" s="97"/>
      <c r="K215" s="79"/>
      <c r="L215" s="79"/>
      <c r="M215" s="79" t="str">
        <f>Table728182[[#This Row],[DBA]]&amp;" - "&amp;Table728182[[#This Row],[BIN]]&amp;" - "&amp;Table728182[[#This Row],[CAID]]</f>
        <v xml:space="preserve"> -  - </v>
      </c>
      <c r="N215" s="90"/>
    </row>
    <row r="216" spans="8:14" x14ac:dyDescent="0.25">
      <c r="H216" s="91"/>
      <c r="I216" s="91"/>
      <c r="J216" s="97"/>
      <c r="K216" s="79"/>
      <c r="L216" s="79"/>
      <c r="M216" s="79" t="str">
        <f>Table728182[[#This Row],[DBA]]&amp;" - "&amp;Table728182[[#This Row],[BIN]]&amp;" - "&amp;Table728182[[#This Row],[CAID]]</f>
        <v xml:space="preserve"> -  - </v>
      </c>
      <c r="N216" s="90"/>
    </row>
    <row r="217" spans="8:14" x14ac:dyDescent="0.25">
      <c r="H217" s="91"/>
      <c r="I217" s="91"/>
      <c r="J217" s="97"/>
      <c r="K217" s="79"/>
      <c r="L217" s="79"/>
      <c r="M217" s="79" t="str">
        <f>Table728182[[#This Row],[DBA]]&amp;" - "&amp;Table728182[[#This Row],[BIN]]&amp;" - "&amp;Table728182[[#This Row],[CAID]]</f>
        <v xml:space="preserve"> -  - </v>
      </c>
      <c r="N217" s="90"/>
    </row>
    <row r="218" spans="8:14" x14ac:dyDescent="0.25">
      <c r="H218" s="91"/>
      <c r="I218" s="91"/>
      <c r="J218" s="97"/>
      <c r="K218" s="79"/>
      <c r="L218" s="79"/>
      <c r="M218" s="79" t="str">
        <f>Table728182[[#This Row],[DBA]]&amp;" - "&amp;Table728182[[#This Row],[BIN]]&amp;" - "&amp;Table728182[[#This Row],[CAID]]</f>
        <v xml:space="preserve"> -  - </v>
      </c>
      <c r="N218" s="90"/>
    </row>
    <row r="219" spans="8:14" x14ac:dyDescent="0.25">
      <c r="H219" s="91"/>
      <c r="I219" s="91"/>
      <c r="J219" s="97"/>
      <c r="K219" s="79"/>
      <c r="L219" s="79"/>
      <c r="M219" s="79" t="str">
        <f>Table728182[[#This Row],[DBA]]&amp;" - "&amp;Table728182[[#This Row],[BIN]]&amp;" - "&amp;Table728182[[#This Row],[CAID]]</f>
        <v xml:space="preserve"> -  - </v>
      </c>
      <c r="N219" s="90"/>
    </row>
    <row r="220" spans="8:14" x14ac:dyDescent="0.25">
      <c r="H220" s="91"/>
      <c r="I220" s="91"/>
      <c r="J220" s="97"/>
      <c r="K220" s="79"/>
      <c r="L220" s="79"/>
      <c r="M220" s="79" t="str">
        <f>Table728182[[#This Row],[DBA]]&amp;" - "&amp;Table728182[[#This Row],[BIN]]&amp;" - "&amp;Table728182[[#This Row],[CAID]]</f>
        <v xml:space="preserve"> -  - </v>
      </c>
      <c r="N220" s="90"/>
    </row>
    <row r="221" spans="8:14" x14ac:dyDescent="0.25">
      <c r="H221" s="91"/>
      <c r="I221" s="91"/>
      <c r="J221" s="97"/>
      <c r="K221" s="79"/>
      <c r="L221" s="79"/>
      <c r="M221" s="79" t="str">
        <f>Table728182[[#This Row],[DBA]]&amp;" - "&amp;Table728182[[#This Row],[BIN]]&amp;" - "&amp;Table728182[[#This Row],[CAID]]</f>
        <v xml:space="preserve"> -  - </v>
      </c>
      <c r="N221" s="90"/>
    </row>
    <row r="222" spans="8:14" x14ac:dyDescent="0.25">
      <c r="H222" s="91"/>
      <c r="I222" s="91"/>
      <c r="J222" s="97"/>
      <c r="K222" s="79"/>
      <c r="L222" s="79"/>
      <c r="M222" s="79" t="str">
        <f>Table728182[[#This Row],[DBA]]&amp;" - "&amp;Table728182[[#This Row],[BIN]]&amp;" - "&amp;Table728182[[#This Row],[CAID]]</f>
        <v xml:space="preserve"> -  - </v>
      </c>
      <c r="N222" s="90"/>
    </row>
    <row r="223" spans="8:14" x14ac:dyDescent="0.25">
      <c r="H223" s="91"/>
      <c r="I223" s="91"/>
      <c r="J223" s="97"/>
      <c r="K223" s="79"/>
      <c r="L223" s="79"/>
      <c r="M223" s="79" t="str">
        <f>Table728182[[#This Row],[DBA]]&amp;" - "&amp;Table728182[[#This Row],[BIN]]&amp;" - "&amp;Table728182[[#This Row],[CAID]]</f>
        <v xml:space="preserve"> -  - </v>
      </c>
      <c r="N223" s="90"/>
    </row>
    <row r="224" spans="8:14" x14ac:dyDescent="0.25">
      <c r="H224" s="91"/>
      <c r="I224" s="91"/>
      <c r="J224" s="97"/>
      <c r="K224" s="79"/>
      <c r="L224" s="79"/>
      <c r="M224" s="79" t="str">
        <f>Table728182[[#This Row],[DBA]]&amp;" - "&amp;Table728182[[#This Row],[BIN]]&amp;" - "&amp;Table728182[[#This Row],[CAID]]</f>
        <v xml:space="preserve"> -  - </v>
      </c>
      <c r="N224" s="90"/>
    </row>
    <row r="225" spans="8:14" x14ac:dyDescent="0.25">
      <c r="H225" s="91"/>
      <c r="I225" s="91"/>
      <c r="J225" s="97"/>
      <c r="K225" s="79"/>
      <c r="L225" s="79"/>
      <c r="M225" s="79" t="str">
        <f>Table728182[[#This Row],[DBA]]&amp;" - "&amp;Table728182[[#This Row],[BIN]]&amp;" - "&amp;Table728182[[#This Row],[CAID]]</f>
        <v xml:space="preserve"> -  - </v>
      </c>
      <c r="N225" s="90"/>
    </row>
    <row r="226" spans="8:14" x14ac:dyDescent="0.25">
      <c r="H226" s="91"/>
      <c r="I226" s="91"/>
      <c r="J226" s="97"/>
      <c r="K226" s="79"/>
      <c r="L226" s="79"/>
      <c r="M226" s="79" t="str">
        <f>Table728182[[#This Row],[DBA]]&amp;" - "&amp;Table728182[[#This Row],[BIN]]&amp;" - "&amp;Table728182[[#This Row],[CAID]]</f>
        <v xml:space="preserve"> -  - </v>
      </c>
      <c r="N226" s="90"/>
    </row>
    <row r="227" spans="8:14" x14ac:dyDescent="0.25">
      <c r="H227" s="91"/>
      <c r="I227" s="91"/>
      <c r="J227" s="97"/>
      <c r="K227" s="79"/>
      <c r="L227" s="79"/>
      <c r="M227" s="79" t="str">
        <f>Table728182[[#This Row],[DBA]]&amp;" - "&amp;Table728182[[#This Row],[BIN]]&amp;" - "&amp;Table728182[[#This Row],[CAID]]</f>
        <v xml:space="preserve"> -  - </v>
      </c>
      <c r="N227" s="90"/>
    </row>
    <row r="228" spans="8:14" x14ac:dyDescent="0.25">
      <c r="H228" s="91"/>
      <c r="I228" s="91"/>
      <c r="J228" s="97"/>
      <c r="K228" s="79"/>
      <c r="L228" s="79"/>
      <c r="M228" s="79" t="str">
        <f>Table728182[[#This Row],[DBA]]&amp;" - "&amp;Table728182[[#This Row],[BIN]]&amp;" - "&amp;Table728182[[#This Row],[CAID]]</f>
        <v xml:space="preserve"> -  - </v>
      </c>
      <c r="N228" s="90"/>
    </row>
    <row r="229" spans="8:14" x14ac:dyDescent="0.25">
      <c r="H229" s="91"/>
      <c r="I229" s="91"/>
      <c r="J229" s="97"/>
      <c r="K229" s="79"/>
      <c r="L229" s="79"/>
      <c r="M229" s="79" t="str">
        <f>Table728182[[#This Row],[DBA]]&amp;" - "&amp;Table728182[[#This Row],[BIN]]&amp;" - "&amp;Table728182[[#This Row],[CAID]]</f>
        <v xml:space="preserve"> -  - </v>
      </c>
      <c r="N229" s="90"/>
    </row>
    <row r="230" spans="8:14" x14ac:dyDescent="0.25">
      <c r="H230" s="91"/>
      <c r="I230" s="91"/>
      <c r="J230" s="97"/>
      <c r="K230" s="79"/>
      <c r="L230" s="79"/>
      <c r="M230" s="79" t="str">
        <f>Table728182[[#This Row],[DBA]]&amp;" - "&amp;Table728182[[#This Row],[BIN]]&amp;" - "&amp;Table728182[[#This Row],[CAID]]</f>
        <v xml:space="preserve"> -  - </v>
      </c>
      <c r="N230" s="90"/>
    </row>
    <row r="231" spans="8:14" x14ac:dyDescent="0.25">
      <c r="H231" s="91"/>
      <c r="I231" s="91"/>
      <c r="J231" s="97"/>
      <c r="K231" s="79"/>
      <c r="L231" s="79"/>
      <c r="M231" s="79" t="str">
        <f>Table728182[[#This Row],[DBA]]&amp;" - "&amp;Table728182[[#This Row],[BIN]]&amp;" - "&amp;Table728182[[#This Row],[CAID]]</f>
        <v xml:space="preserve"> -  - </v>
      </c>
      <c r="N231" s="90"/>
    </row>
    <row r="232" spans="8:14" x14ac:dyDescent="0.25">
      <c r="H232" s="91"/>
      <c r="I232" s="91"/>
      <c r="J232" s="97"/>
      <c r="K232" s="79"/>
      <c r="L232" s="79"/>
      <c r="M232" s="79" t="str">
        <f>Table728182[[#This Row],[DBA]]&amp;" - "&amp;Table728182[[#This Row],[BIN]]&amp;" - "&amp;Table728182[[#This Row],[CAID]]</f>
        <v xml:space="preserve"> -  - </v>
      </c>
      <c r="N232" s="90"/>
    </row>
    <row r="233" spans="8:14" x14ac:dyDescent="0.25">
      <c r="H233" s="91"/>
      <c r="I233" s="91"/>
      <c r="J233" s="97"/>
      <c r="K233" s="79"/>
      <c r="L233" s="79"/>
      <c r="M233" s="79" t="str">
        <f>Table728182[[#This Row],[DBA]]&amp;" - "&amp;Table728182[[#This Row],[BIN]]&amp;" - "&amp;Table728182[[#This Row],[CAID]]</f>
        <v xml:space="preserve"> -  - </v>
      </c>
      <c r="N233" s="90"/>
    </row>
    <row r="234" spans="8:14" x14ac:dyDescent="0.25">
      <c r="H234" s="91"/>
      <c r="I234" s="91"/>
      <c r="J234" s="97"/>
      <c r="K234" s="79"/>
      <c r="L234" s="79"/>
      <c r="M234" s="79" t="str">
        <f>Table728182[[#This Row],[DBA]]&amp;" - "&amp;Table728182[[#This Row],[BIN]]&amp;" - "&amp;Table728182[[#This Row],[CAID]]</f>
        <v xml:space="preserve"> -  - </v>
      </c>
      <c r="N234" s="90"/>
    </row>
    <row r="235" spans="8:14" x14ac:dyDescent="0.25">
      <c r="H235" s="91"/>
      <c r="I235" s="91"/>
      <c r="J235" s="97"/>
      <c r="K235" s="79"/>
      <c r="L235" s="79"/>
      <c r="M235" s="79" t="str">
        <f>Table728182[[#This Row],[DBA]]&amp;" - "&amp;Table728182[[#This Row],[BIN]]&amp;" - "&amp;Table728182[[#This Row],[CAID]]</f>
        <v xml:space="preserve"> -  - </v>
      </c>
      <c r="N235" s="90"/>
    </row>
    <row r="236" spans="8:14" x14ac:dyDescent="0.25">
      <c r="H236" s="91"/>
      <c r="I236" s="91"/>
      <c r="J236" s="97"/>
      <c r="K236" s="79"/>
      <c r="L236" s="79"/>
      <c r="M236" s="79" t="str">
        <f>Table728182[[#This Row],[DBA]]&amp;" - "&amp;Table728182[[#This Row],[BIN]]&amp;" - "&amp;Table728182[[#This Row],[CAID]]</f>
        <v xml:space="preserve"> -  - </v>
      </c>
      <c r="N236" s="90"/>
    </row>
    <row r="237" spans="8:14" x14ac:dyDescent="0.25">
      <c r="H237" s="91"/>
      <c r="I237" s="91"/>
      <c r="J237" s="97"/>
      <c r="K237" s="79"/>
      <c r="L237" s="79"/>
      <c r="M237" s="79" t="str">
        <f>Table728182[[#This Row],[DBA]]&amp;" - "&amp;Table728182[[#This Row],[BIN]]&amp;" - "&amp;Table728182[[#This Row],[CAID]]</f>
        <v xml:space="preserve"> -  - </v>
      </c>
      <c r="N237" s="90"/>
    </row>
    <row r="238" spans="8:14" x14ac:dyDescent="0.25">
      <c r="H238" s="91"/>
      <c r="I238" s="91"/>
      <c r="J238" s="97"/>
      <c r="K238" s="79"/>
      <c r="L238" s="79"/>
      <c r="M238" s="79" t="str">
        <f>Table728182[[#This Row],[DBA]]&amp;" - "&amp;Table728182[[#This Row],[BIN]]&amp;" - "&amp;Table728182[[#This Row],[CAID]]</f>
        <v xml:space="preserve"> -  - </v>
      </c>
      <c r="N238" s="90"/>
    </row>
    <row r="239" spans="8:14" x14ac:dyDescent="0.25">
      <c r="H239" s="91"/>
      <c r="I239" s="91"/>
      <c r="J239" s="97"/>
      <c r="K239" s="79"/>
      <c r="L239" s="79"/>
      <c r="M239" s="79" t="str">
        <f>Table728182[[#This Row],[DBA]]&amp;" - "&amp;Table728182[[#This Row],[BIN]]&amp;" - "&amp;Table728182[[#This Row],[CAID]]</f>
        <v xml:space="preserve"> -  - </v>
      </c>
      <c r="N239" s="90"/>
    </row>
    <row r="240" spans="8:14" x14ac:dyDescent="0.25">
      <c r="H240" s="91"/>
      <c r="I240" s="91"/>
      <c r="J240" s="97"/>
      <c r="K240" s="79"/>
      <c r="L240" s="79"/>
      <c r="M240" s="79" t="str">
        <f>Table728182[[#This Row],[DBA]]&amp;" - "&amp;Table728182[[#This Row],[BIN]]&amp;" - "&amp;Table728182[[#This Row],[CAID]]</f>
        <v xml:space="preserve"> -  - </v>
      </c>
      <c r="N240" s="90"/>
    </row>
    <row r="241" spans="8:14" x14ac:dyDescent="0.25">
      <c r="H241" s="91"/>
      <c r="I241" s="91"/>
      <c r="J241" s="97"/>
      <c r="K241" s="79"/>
      <c r="L241" s="79"/>
      <c r="M241" s="79" t="str">
        <f>Table728182[[#This Row],[DBA]]&amp;" - "&amp;Table728182[[#This Row],[BIN]]&amp;" - "&amp;Table728182[[#This Row],[CAID]]</f>
        <v xml:space="preserve"> -  - </v>
      </c>
      <c r="N241" s="90"/>
    </row>
    <row r="242" spans="8:14" x14ac:dyDescent="0.25">
      <c r="H242" s="91"/>
      <c r="I242" s="91"/>
      <c r="J242" s="97"/>
      <c r="K242" s="79"/>
      <c r="L242" s="79"/>
      <c r="M242" s="79" t="str">
        <f>Table728182[[#This Row],[DBA]]&amp;" - "&amp;Table728182[[#This Row],[BIN]]&amp;" - "&amp;Table728182[[#This Row],[CAID]]</f>
        <v xml:space="preserve"> -  - </v>
      </c>
      <c r="N242" s="90"/>
    </row>
    <row r="243" spans="8:14" x14ac:dyDescent="0.25">
      <c r="H243" s="91"/>
      <c r="I243" s="91"/>
      <c r="J243" s="97"/>
      <c r="K243" s="79"/>
      <c r="L243" s="79"/>
      <c r="M243" s="79" t="str">
        <f>Table728182[[#This Row],[DBA]]&amp;" - "&amp;Table728182[[#This Row],[BIN]]&amp;" - "&amp;Table728182[[#This Row],[CAID]]</f>
        <v xml:space="preserve"> -  - </v>
      </c>
      <c r="N243" s="90"/>
    </row>
    <row r="244" spans="8:14" x14ac:dyDescent="0.25">
      <c r="H244" s="91"/>
      <c r="I244" s="91"/>
      <c r="J244" s="97"/>
      <c r="K244" s="79"/>
      <c r="L244" s="79"/>
      <c r="M244" s="79" t="str">
        <f>Table728182[[#This Row],[DBA]]&amp;" - "&amp;Table728182[[#This Row],[BIN]]&amp;" - "&amp;Table728182[[#This Row],[CAID]]</f>
        <v xml:space="preserve"> -  - </v>
      </c>
      <c r="N244" s="90"/>
    </row>
    <row r="245" spans="8:14" x14ac:dyDescent="0.25">
      <c r="H245" s="91"/>
      <c r="I245" s="91"/>
      <c r="J245" s="97"/>
      <c r="K245" s="79"/>
      <c r="L245" s="79"/>
      <c r="M245" s="79" t="str">
        <f>Table728182[[#This Row],[DBA]]&amp;" - "&amp;Table728182[[#This Row],[BIN]]&amp;" - "&amp;Table728182[[#This Row],[CAID]]</f>
        <v xml:space="preserve"> -  - </v>
      </c>
      <c r="N245" s="90"/>
    </row>
    <row r="246" spans="8:14" x14ac:dyDescent="0.25">
      <c r="H246" s="91"/>
      <c r="I246" s="91"/>
      <c r="J246" s="97"/>
      <c r="K246" s="79"/>
      <c r="L246" s="79"/>
      <c r="M246" s="79" t="str">
        <f>Table728182[[#This Row],[DBA]]&amp;" - "&amp;Table728182[[#This Row],[BIN]]&amp;" - "&amp;Table728182[[#This Row],[CAID]]</f>
        <v xml:space="preserve"> -  - </v>
      </c>
      <c r="N246" s="90"/>
    </row>
    <row r="247" spans="8:14" x14ac:dyDescent="0.25">
      <c r="H247" s="91"/>
      <c r="I247" s="91"/>
      <c r="J247" s="97"/>
      <c r="K247" s="79"/>
      <c r="L247" s="79"/>
      <c r="M247" s="79" t="str">
        <f>Table728182[[#This Row],[DBA]]&amp;" - "&amp;Table728182[[#This Row],[BIN]]&amp;" - "&amp;Table728182[[#This Row],[CAID]]</f>
        <v xml:space="preserve"> -  - </v>
      </c>
      <c r="N247" s="90"/>
    </row>
    <row r="248" spans="8:14" x14ac:dyDescent="0.25">
      <c r="H248" s="91"/>
      <c r="I248" s="91"/>
      <c r="J248" s="97"/>
      <c r="K248" s="79"/>
      <c r="L248" s="79"/>
      <c r="M248" s="79" t="str">
        <f>Table728182[[#This Row],[DBA]]&amp;" - "&amp;Table728182[[#This Row],[BIN]]&amp;" - "&amp;Table728182[[#This Row],[CAID]]</f>
        <v xml:space="preserve"> -  - </v>
      </c>
      <c r="N248" s="90"/>
    </row>
    <row r="249" spans="8:14" x14ac:dyDescent="0.25">
      <c r="H249" s="91"/>
      <c r="I249" s="91"/>
      <c r="J249" s="97"/>
      <c r="K249" s="79"/>
      <c r="L249" s="79"/>
      <c r="M249" s="79" t="str">
        <f>Table728182[[#This Row],[DBA]]&amp;" - "&amp;Table728182[[#This Row],[BIN]]&amp;" - "&amp;Table728182[[#This Row],[CAID]]</f>
        <v xml:space="preserve"> -  - </v>
      </c>
      <c r="N249" s="90"/>
    </row>
    <row r="250" spans="8:14" x14ac:dyDescent="0.25">
      <c r="H250" s="91"/>
      <c r="I250" s="91"/>
      <c r="J250" s="97"/>
      <c r="K250" s="79"/>
      <c r="L250" s="79"/>
      <c r="M250" s="79" t="str">
        <f>Table728182[[#This Row],[DBA]]&amp;" - "&amp;Table728182[[#This Row],[BIN]]&amp;" - "&amp;Table728182[[#This Row],[CAID]]</f>
        <v xml:space="preserve"> -  - </v>
      </c>
      <c r="N250" s="90"/>
    </row>
    <row r="251" spans="8:14" x14ac:dyDescent="0.25">
      <c r="H251" s="91"/>
      <c r="I251" s="91"/>
      <c r="J251" s="97"/>
      <c r="K251" s="79"/>
      <c r="L251" s="79"/>
      <c r="M251" s="79" t="str">
        <f>Table728182[[#This Row],[DBA]]&amp;" - "&amp;Table728182[[#This Row],[BIN]]&amp;" - "&amp;Table728182[[#This Row],[CAID]]</f>
        <v xml:space="preserve"> -  - </v>
      </c>
      <c r="N251" s="90"/>
    </row>
    <row r="252" spans="8:14" x14ac:dyDescent="0.25">
      <c r="H252" s="91"/>
      <c r="I252" s="91"/>
      <c r="J252" s="97"/>
      <c r="K252" s="79"/>
      <c r="L252" s="79"/>
      <c r="M252" s="79" t="str">
        <f>Table728182[[#This Row],[DBA]]&amp;" - "&amp;Table728182[[#This Row],[BIN]]&amp;" - "&amp;Table728182[[#This Row],[CAID]]</f>
        <v xml:space="preserve"> -  - </v>
      </c>
      <c r="N252" s="90"/>
    </row>
    <row r="253" spans="8:14" x14ac:dyDescent="0.25">
      <c r="H253" s="91"/>
      <c r="I253" s="91"/>
      <c r="J253" s="97"/>
      <c r="K253" s="79"/>
      <c r="L253" s="79"/>
      <c r="M253" s="79" t="str">
        <f>Table728182[[#This Row],[DBA]]&amp;" - "&amp;Table728182[[#This Row],[BIN]]&amp;" - "&amp;Table728182[[#This Row],[CAID]]</f>
        <v xml:space="preserve"> -  - </v>
      </c>
      <c r="N253" s="90"/>
    </row>
    <row r="254" spans="8:14" x14ac:dyDescent="0.25">
      <c r="H254" s="91"/>
      <c r="I254" s="91"/>
      <c r="J254" s="97"/>
      <c r="K254" s="79"/>
      <c r="L254" s="79"/>
      <c r="M254" s="79" t="str">
        <f>Table728182[[#This Row],[DBA]]&amp;" - "&amp;Table728182[[#This Row],[BIN]]&amp;" - "&amp;Table728182[[#This Row],[CAID]]</f>
        <v xml:space="preserve"> -  - </v>
      </c>
      <c r="N254" s="90"/>
    </row>
    <row r="255" spans="8:14" x14ac:dyDescent="0.25">
      <c r="H255" s="91"/>
      <c r="I255" s="91"/>
      <c r="J255" s="97"/>
      <c r="K255" s="79"/>
      <c r="L255" s="79"/>
      <c r="M255" s="79" t="str">
        <f>Table728182[[#This Row],[DBA]]&amp;" - "&amp;Table728182[[#This Row],[BIN]]&amp;" - "&amp;Table728182[[#This Row],[CAID]]</f>
        <v xml:space="preserve"> -  - </v>
      </c>
      <c r="N255" s="90"/>
    </row>
    <row r="256" spans="8:14" x14ac:dyDescent="0.25">
      <c r="H256" s="91"/>
      <c r="I256" s="91"/>
      <c r="J256" s="97"/>
      <c r="K256" s="79"/>
      <c r="L256" s="79"/>
      <c r="M256" s="79" t="str">
        <f>Table728182[[#This Row],[DBA]]&amp;" - "&amp;Table728182[[#This Row],[BIN]]&amp;" - "&amp;Table728182[[#This Row],[CAID]]</f>
        <v xml:space="preserve"> -  - </v>
      </c>
      <c r="N256" s="90"/>
    </row>
    <row r="257" spans="8:14" x14ac:dyDescent="0.25">
      <c r="H257" s="91"/>
      <c r="I257" s="91"/>
      <c r="J257" s="97"/>
      <c r="K257" s="79"/>
      <c r="L257" s="79"/>
      <c r="M257" s="79" t="str">
        <f>Table728182[[#This Row],[DBA]]&amp;" - "&amp;Table728182[[#This Row],[BIN]]&amp;" - "&amp;Table728182[[#This Row],[CAID]]</f>
        <v xml:space="preserve"> -  - </v>
      </c>
      <c r="N257" s="90"/>
    </row>
    <row r="258" spans="8:14" x14ac:dyDescent="0.25">
      <c r="H258" s="91"/>
      <c r="I258" s="91"/>
      <c r="J258" s="97"/>
      <c r="K258" s="79"/>
      <c r="L258" s="79"/>
      <c r="M258" s="79" t="str">
        <f>Table728182[[#This Row],[DBA]]&amp;" - "&amp;Table728182[[#This Row],[BIN]]&amp;" - "&amp;Table728182[[#This Row],[CAID]]</f>
        <v xml:space="preserve"> -  - </v>
      </c>
      <c r="N258" s="90"/>
    </row>
    <row r="259" spans="8:14" x14ac:dyDescent="0.25">
      <c r="H259" s="91"/>
      <c r="I259" s="91"/>
      <c r="J259" s="97"/>
      <c r="K259" s="79"/>
      <c r="L259" s="79"/>
      <c r="M259" s="79" t="str">
        <f>Table728182[[#This Row],[DBA]]&amp;" - "&amp;Table728182[[#This Row],[BIN]]&amp;" - "&amp;Table728182[[#This Row],[CAID]]</f>
        <v xml:space="preserve"> -  - </v>
      </c>
      <c r="N259" s="90"/>
    </row>
    <row r="260" spans="8:14" x14ac:dyDescent="0.25">
      <c r="H260" s="91"/>
      <c r="I260" s="91"/>
      <c r="J260" s="97"/>
      <c r="K260" s="79"/>
      <c r="L260" s="79"/>
      <c r="M260" s="79" t="str">
        <f>Table728182[[#This Row],[DBA]]&amp;" - "&amp;Table728182[[#This Row],[BIN]]&amp;" - "&amp;Table728182[[#This Row],[CAID]]</f>
        <v xml:space="preserve"> -  - </v>
      </c>
      <c r="N260" s="90"/>
    </row>
    <row r="261" spans="8:14" x14ac:dyDescent="0.25">
      <c r="H261" s="91"/>
      <c r="I261" s="91"/>
      <c r="J261" s="97"/>
      <c r="K261" s="79"/>
      <c r="L261" s="79"/>
      <c r="M261" s="79" t="str">
        <f>Table728182[[#This Row],[DBA]]&amp;" - "&amp;Table728182[[#This Row],[BIN]]&amp;" - "&amp;Table728182[[#This Row],[CAID]]</f>
        <v xml:space="preserve"> -  - </v>
      </c>
      <c r="N261" s="90"/>
    </row>
    <row r="262" spans="8:14" x14ac:dyDescent="0.25">
      <c r="H262" s="91"/>
      <c r="I262" s="91"/>
      <c r="J262" s="97"/>
      <c r="K262" s="79"/>
      <c r="L262" s="79"/>
      <c r="M262" s="79" t="str">
        <f>Table728182[[#This Row],[DBA]]&amp;" - "&amp;Table728182[[#This Row],[BIN]]&amp;" - "&amp;Table728182[[#This Row],[CAID]]</f>
        <v xml:space="preserve"> -  - </v>
      </c>
      <c r="N262" s="90"/>
    </row>
    <row r="263" spans="8:14" x14ac:dyDescent="0.25">
      <c r="H263" s="91"/>
      <c r="I263" s="91"/>
      <c r="J263" s="97"/>
      <c r="K263" s="79"/>
      <c r="L263" s="79"/>
      <c r="M263" s="79" t="str">
        <f>Table728182[[#This Row],[DBA]]&amp;" - "&amp;Table728182[[#This Row],[BIN]]&amp;" - "&amp;Table728182[[#This Row],[CAID]]</f>
        <v xml:space="preserve"> -  - </v>
      </c>
      <c r="N263" s="90"/>
    </row>
    <row r="264" spans="8:14" x14ac:dyDescent="0.25">
      <c r="H264" s="91"/>
      <c r="I264" s="91"/>
      <c r="J264" s="97"/>
      <c r="K264" s="79"/>
      <c r="L264" s="79"/>
      <c r="M264" s="79" t="str">
        <f>Table728182[[#This Row],[DBA]]&amp;" - "&amp;Table728182[[#This Row],[BIN]]&amp;" - "&amp;Table728182[[#This Row],[CAID]]</f>
        <v xml:space="preserve"> -  - </v>
      </c>
      <c r="N264" s="90"/>
    </row>
    <row r="265" spans="8:14" x14ac:dyDescent="0.25">
      <c r="H265" s="91"/>
      <c r="I265" s="91"/>
      <c r="J265" s="97"/>
      <c r="K265" s="79"/>
      <c r="L265" s="79"/>
      <c r="M265" s="79" t="str">
        <f>Table728182[[#This Row],[DBA]]&amp;" - "&amp;Table728182[[#This Row],[BIN]]&amp;" - "&amp;Table728182[[#This Row],[CAID]]</f>
        <v xml:space="preserve"> -  - </v>
      </c>
      <c r="N265" s="90"/>
    </row>
    <row r="266" spans="8:14" x14ac:dyDescent="0.25">
      <c r="H266" s="91"/>
      <c r="I266" s="91"/>
      <c r="J266" s="97"/>
      <c r="K266" s="79"/>
      <c r="L266" s="79"/>
      <c r="M266" s="79" t="str">
        <f>Table728182[[#This Row],[DBA]]&amp;" - "&amp;Table728182[[#This Row],[BIN]]&amp;" - "&amp;Table728182[[#This Row],[CAID]]</f>
        <v xml:space="preserve"> -  - </v>
      </c>
      <c r="N266" s="90"/>
    </row>
    <row r="267" spans="8:14" x14ac:dyDescent="0.25">
      <c r="H267" s="91"/>
      <c r="I267" s="91"/>
      <c r="J267" s="97"/>
      <c r="K267" s="79"/>
      <c r="L267" s="79"/>
      <c r="M267" s="79" t="str">
        <f>Table728182[[#This Row],[DBA]]&amp;" - "&amp;Table728182[[#This Row],[BIN]]&amp;" - "&amp;Table728182[[#This Row],[CAID]]</f>
        <v xml:space="preserve"> -  - </v>
      </c>
      <c r="N267" s="90"/>
    </row>
    <row r="268" spans="8:14" x14ac:dyDescent="0.25">
      <c r="H268" s="91"/>
      <c r="I268" s="91"/>
      <c r="J268" s="97"/>
      <c r="K268" s="79"/>
      <c r="L268" s="79"/>
      <c r="M268" s="79" t="str">
        <f>Table728182[[#This Row],[DBA]]&amp;" - "&amp;Table728182[[#This Row],[BIN]]&amp;" - "&amp;Table728182[[#This Row],[CAID]]</f>
        <v xml:space="preserve"> -  - </v>
      </c>
      <c r="N268" s="90"/>
    </row>
    <row r="269" spans="8:14" x14ac:dyDescent="0.25">
      <c r="H269" s="91"/>
      <c r="I269" s="91"/>
      <c r="J269" s="97"/>
      <c r="K269" s="79"/>
      <c r="L269" s="79"/>
      <c r="M269" s="79" t="str">
        <f>Table728182[[#This Row],[DBA]]&amp;" - "&amp;Table728182[[#This Row],[BIN]]&amp;" - "&amp;Table728182[[#This Row],[CAID]]</f>
        <v xml:space="preserve"> -  - </v>
      </c>
      <c r="N269" s="90"/>
    </row>
    <row r="270" spans="8:14" x14ac:dyDescent="0.25">
      <c r="H270" s="91"/>
      <c r="I270" s="91"/>
      <c r="J270" s="97"/>
      <c r="K270" s="79"/>
      <c r="L270" s="79"/>
      <c r="M270" s="79" t="str">
        <f>Table728182[[#This Row],[DBA]]&amp;" - "&amp;Table728182[[#This Row],[BIN]]&amp;" - "&amp;Table728182[[#This Row],[CAID]]</f>
        <v xml:space="preserve"> -  - </v>
      </c>
      <c r="N270" s="90"/>
    </row>
    <row r="271" spans="8:14" x14ac:dyDescent="0.25">
      <c r="H271" s="91"/>
      <c r="I271" s="91"/>
      <c r="J271" s="97"/>
      <c r="K271" s="79"/>
      <c r="L271" s="79"/>
      <c r="M271" s="79" t="str">
        <f>Table728182[[#This Row],[DBA]]&amp;" - "&amp;Table728182[[#This Row],[BIN]]&amp;" - "&amp;Table728182[[#This Row],[CAID]]</f>
        <v xml:space="preserve"> -  - </v>
      </c>
      <c r="N271" s="90"/>
    </row>
    <row r="272" spans="8:14" x14ac:dyDescent="0.25">
      <c r="H272" s="91"/>
      <c r="I272" s="91"/>
      <c r="J272" s="97"/>
      <c r="K272" s="79"/>
      <c r="L272" s="79"/>
      <c r="M272" s="79" t="str">
        <f>Table728182[[#This Row],[DBA]]&amp;" - "&amp;Table728182[[#This Row],[BIN]]&amp;" - "&amp;Table728182[[#This Row],[CAID]]</f>
        <v xml:space="preserve"> -  - </v>
      </c>
      <c r="N272" s="90"/>
    </row>
    <row r="273" spans="8:14" x14ac:dyDescent="0.25">
      <c r="H273" s="91"/>
      <c r="I273" s="91"/>
      <c r="J273" s="97"/>
      <c r="K273" s="79"/>
      <c r="L273" s="79"/>
      <c r="M273" s="79" t="str">
        <f>Table728182[[#This Row],[DBA]]&amp;" - "&amp;Table728182[[#This Row],[BIN]]&amp;" - "&amp;Table728182[[#This Row],[CAID]]</f>
        <v xml:space="preserve"> -  - </v>
      </c>
      <c r="N273" s="90"/>
    </row>
    <row r="274" spans="8:14" x14ac:dyDescent="0.25">
      <c r="H274" s="91"/>
      <c r="I274" s="91"/>
      <c r="J274" s="97"/>
      <c r="K274" s="79"/>
      <c r="L274" s="79"/>
      <c r="M274" s="79" t="str">
        <f>Table728182[[#This Row],[DBA]]&amp;" - "&amp;Table728182[[#This Row],[BIN]]&amp;" - "&amp;Table728182[[#This Row],[CAID]]</f>
        <v xml:space="preserve"> -  - </v>
      </c>
      <c r="N274" s="90"/>
    </row>
    <row r="275" spans="8:14" x14ac:dyDescent="0.25">
      <c r="H275" s="91"/>
      <c r="I275" s="91"/>
      <c r="J275" s="97"/>
      <c r="K275" s="79"/>
      <c r="L275" s="79"/>
      <c r="M275" s="79" t="str">
        <f>Table728182[[#This Row],[DBA]]&amp;" - "&amp;Table728182[[#This Row],[BIN]]&amp;" - "&amp;Table728182[[#This Row],[CAID]]</f>
        <v xml:space="preserve"> -  - </v>
      </c>
      <c r="N275" s="90"/>
    </row>
    <row r="276" spans="8:14" x14ac:dyDescent="0.25">
      <c r="H276" s="91"/>
      <c r="I276" s="91"/>
      <c r="J276" s="97"/>
      <c r="K276" s="79"/>
      <c r="L276" s="79"/>
      <c r="M276" s="79" t="str">
        <f>Table728182[[#This Row],[DBA]]&amp;" - "&amp;Table728182[[#This Row],[BIN]]&amp;" - "&amp;Table728182[[#This Row],[CAID]]</f>
        <v xml:space="preserve"> -  - </v>
      </c>
      <c r="N276" s="90"/>
    </row>
    <row r="277" spans="8:14" x14ac:dyDescent="0.25">
      <c r="H277" s="91"/>
      <c r="I277" s="91"/>
      <c r="J277" s="97"/>
      <c r="K277" s="79"/>
      <c r="L277" s="79"/>
      <c r="M277" s="79" t="str">
        <f>Table728182[[#This Row],[DBA]]&amp;" - "&amp;Table728182[[#This Row],[BIN]]&amp;" - "&amp;Table728182[[#This Row],[CAID]]</f>
        <v xml:space="preserve"> -  - </v>
      </c>
      <c r="N277" s="90"/>
    </row>
    <row r="278" spans="8:14" x14ac:dyDescent="0.25">
      <c r="H278" s="91"/>
      <c r="I278" s="91"/>
      <c r="J278" s="97"/>
      <c r="K278" s="79"/>
      <c r="L278" s="79"/>
      <c r="M278" s="79" t="str">
        <f>Table728182[[#This Row],[DBA]]&amp;" - "&amp;Table728182[[#This Row],[BIN]]&amp;" - "&amp;Table728182[[#This Row],[CAID]]</f>
        <v xml:space="preserve"> -  - </v>
      </c>
      <c r="N278" s="90"/>
    </row>
    <row r="279" spans="8:14" x14ac:dyDescent="0.25">
      <c r="H279" s="91"/>
      <c r="I279" s="91"/>
      <c r="J279" s="97"/>
      <c r="K279" s="79"/>
      <c r="L279" s="79"/>
      <c r="M279" s="79" t="str">
        <f>Table728182[[#This Row],[DBA]]&amp;" - "&amp;Table728182[[#This Row],[BIN]]&amp;" - "&amp;Table728182[[#This Row],[CAID]]</f>
        <v xml:space="preserve"> -  - </v>
      </c>
      <c r="N279" s="90"/>
    </row>
    <row r="280" spans="8:14" x14ac:dyDescent="0.25">
      <c r="H280" s="91"/>
      <c r="I280" s="91"/>
      <c r="J280" s="97"/>
      <c r="K280" s="79"/>
      <c r="L280" s="79"/>
      <c r="M280" s="79" t="str">
        <f>Table728182[[#This Row],[DBA]]&amp;" - "&amp;Table728182[[#This Row],[BIN]]&amp;" - "&amp;Table728182[[#This Row],[CAID]]</f>
        <v xml:space="preserve"> -  - </v>
      </c>
      <c r="N280" s="90"/>
    </row>
    <row r="281" spans="8:14" x14ac:dyDescent="0.25">
      <c r="H281" s="91"/>
      <c r="I281" s="91"/>
      <c r="J281" s="97"/>
      <c r="K281" s="79"/>
      <c r="L281" s="79"/>
      <c r="M281" s="79" t="str">
        <f>Table728182[[#This Row],[DBA]]&amp;" - "&amp;Table728182[[#This Row],[BIN]]&amp;" - "&amp;Table728182[[#This Row],[CAID]]</f>
        <v xml:space="preserve"> -  - </v>
      </c>
      <c r="N281" s="90"/>
    </row>
    <row r="282" spans="8:14" x14ac:dyDescent="0.25">
      <c r="H282" s="91"/>
      <c r="I282" s="91"/>
      <c r="J282" s="97"/>
      <c r="K282" s="79"/>
      <c r="L282" s="79"/>
      <c r="M282" s="79" t="str">
        <f>Table728182[[#This Row],[DBA]]&amp;" - "&amp;Table728182[[#This Row],[BIN]]&amp;" - "&amp;Table728182[[#This Row],[CAID]]</f>
        <v xml:space="preserve"> -  - </v>
      </c>
      <c r="N282" s="90"/>
    </row>
    <row r="283" spans="8:14" x14ac:dyDescent="0.25">
      <c r="H283" s="91"/>
      <c r="I283" s="91"/>
      <c r="J283" s="97"/>
      <c r="K283" s="79"/>
      <c r="L283" s="79"/>
      <c r="M283" s="79" t="str">
        <f>Table728182[[#This Row],[DBA]]&amp;" - "&amp;Table728182[[#This Row],[BIN]]&amp;" - "&amp;Table728182[[#This Row],[CAID]]</f>
        <v xml:space="preserve"> -  - </v>
      </c>
      <c r="N283" s="90"/>
    </row>
    <row r="284" spans="8:14" x14ac:dyDescent="0.25">
      <c r="H284" s="91"/>
      <c r="I284" s="91"/>
      <c r="J284" s="97"/>
      <c r="K284" s="79"/>
      <c r="L284" s="79"/>
      <c r="M284" s="79" t="str">
        <f>Table728182[[#This Row],[DBA]]&amp;" - "&amp;Table728182[[#This Row],[BIN]]&amp;" - "&amp;Table728182[[#This Row],[CAID]]</f>
        <v xml:space="preserve"> -  - </v>
      </c>
      <c r="N284" s="90"/>
    </row>
    <row r="285" spans="8:14" x14ac:dyDescent="0.25">
      <c r="H285" s="91"/>
      <c r="I285" s="91"/>
      <c r="J285" s="97"/>
      <c r="K285" s="79"/>
      <c r="L285" s="79"/>
      <c r="M285" s="79" t="str">
        <f>Table728182[[#This Row],[DBA]]&amp;" - "&amp;Table728182[[#This Row],[BIN]]&amp;" - "&amp;Table728182[[#This Row],[CAID]]</f>
        <v xml:space="preserve"> -  - </v>
      </c>
      <c r="N285" s="90"/>
    </row>
    <row r="286" spans="8:14" x14ac:dyDescent="0.25">
      <c r="H286" s="91"/>
      <c r="I286" s="91"/>
      <c r="J286" s="97"/>
      <c r="K286" s="79"/>
      <c r="L286" s="79"/>
      <c r="M286" s="79" t="str">
        <f>Table728182[[#This Row],[DBA]]&amp;" - "&amp;Table728182[[#This Row],[BIN]]&amp;" - "&amp;Table728182[[#This Row],[CAID]]</f>
        <v xml:space="preserve"> -  - </v>
      </c>
      <c r="N286" s="90"/>
    </row>
    <row r="287" spans="8:14" x14ac:dyDescent="0.25">
      <c r="H287" s="91"/>
      <c r="I287" s="91"/>
      <c r="J287" s="97"/>
      <c r="K287" s="79"/>
      <c r="L287" s="79"/>
      <c r="M287" s="79" t="str">
        <f>Table728182[[#This Row],[DBA]]&amp;" - "&amp;Table728182[[#This Row],[BIN]]&amp;" - "&amp;Table728182[[#This Row],[CAID]]</f>
        <v xml:space="preserve"> -  - </v>
      </c>
      <c r="N287" s="90"/>
    </row>
    <row r="288" spans="8:14" x14ac:dyDescent="0.25">
      <c r="H288" s="91"/>
      <c r="I288" s="91"/>
      <c r="J288" s="97"/>
      <c r="K288" s="79"/>
      <c r="L288" s="79"/>
      <c r="M288" s="79" t="str">
        <f>Table728182[[#This Row],[DBA]]&amp;" - "&amp;Table728182[[#This Row],[BIN]]&amp;" - "&amp;Table728182[[#This Row],[CAID]]</f>
        <v xml:space="preserve"> -  - </v>
      </c>
      <c r="N288" s="90"/>
    </row>
    <row r="289" spans="8:14" x14ac:dyDescent="0.25">
      <c r="H289" s="91"/>
      <c r="I289" s="91"/>
      <c r="J289" s="97"/>
      <c r="K289" s="79"/>
      <c r="L289" s="79"/>
      <c r="M289" s="79" t="str">
        <f>Table728182[[#This Row],[DBA]]&amp;" - "&amp;Table728182[[#This Row],[BIN]]&amp;" - "&amp;Table728182[[#This Row],[CAID]]</f>
        <v xml:space="preserve"> -  - </v>
      </c>
      <c r="N289" s="90"/>
    </row>
    <row r="290" spans="8:14" x14ac:dyDescent="0.25">
      <c r="H290" s="91"/>
      <c r="I290" s="91"/>
      <c r="J290" s="97"/>
      <c r="K290" s="79"/>
      <c r="L290" s="79"/>
      <c r="M290" s="79" t="str">
        <f>Table728182[[#This Row],[DBA]]&amp;" - "&amp;Table728182[[#This Row],[BIN]]&amp;" - "&amp;Table728182[[#This Row],[CAID]]</f>
        <v xml:space="preserve"> -  - </v>
      </c>
      <c r="N290" s="90"/>
    </row>
    <row r="291" spans="8:14" x14ac:dyDescent="0.25">
      <c r="H291" s="91"/>
      <c r="I291" s="91"/>
      <c r="J291" s="97"/>
      <c r="K291" s="79"/>
      <c r="L291" s="79"/>
      <c r="M291" s="79" t="str">
        <f>Table728182[[#This Row],[DBA]]&amp;" - "&amp;Table728182[[#This Row],[BIN]]&amp;" - "&amp;Table728182[[#This Row],[CAID]]</f>
        <v xml:space="preserve"> -  - </v>
      </c>
      <c r="N291" s="90"/>
    </row>
    <row r="292" spans="8:14" x14ac:dyDescent="0.25">
      <c r="H292" s="91"/>
      <c r="I292" s="91"/>
      <c r="J292" s="97"/>
      <c r="K292" s="79"/>
      <c r="L292" s="79"/>
      <c r="M292" s="79" t="str">
        <f>Table728182[[#This Row],[DBA]]&amp;" - "&amp;Table728182[[#This Row],[BIN]]&amp;" - "&amp;Table728182[[#This Row],[CAID]]</f>
        <v xml:space="preserve"> -  - </v>
      </c>
      <c r="N292" s="90"/>
    </row>
    <row r="293" spans="8:14" x14ac:dyDescent="0.25">
      <c r="H293" s="91"/>
      <c r="I293" s="91"/>
      <c r="J293" s="97"/>
      <c r="K293" s="79"/>
      <c r="L293" s="79"/>
      <c r="M293" s="79" t="str">
        <f>Table728182[[#This Row],[DBA]]&amp;" - "&amp;Table728182[[#This Row],[BIN]]&amp;" - "&amp;Table728182[[#This Row],[CAID]]</f>
        <v xml:space="preserve"> -  - </v>
      </c>
      <c r="N293" s="90"/>
    </row>
    <row r="294" spans="8:14" x14ac:dyDescent="0.25">
      <c r="H294" s="91"/>
      <c r="I294" s="91"/>
      <c r="J294" s="97"/>
      <c r="K294" s="79"/>
      <c r="L294" s="79"/>
      <c r="M294" s="79" t="str">
        <f>Table728182[[#This Row],[DBA]]&amp;" - "&amp;Table728182[[#This Row],[BIN]]&amp;" - "&amp;Table728182[[#This Row],[CAID]]</f>
        <v xml:space="preserve"> -  - </v>
      </c>
      <c r="N294" s="90"/>
    </row>
    <row r="295" spans="8:14" x14ac:dyDescent="0.25">
      <c r="H295" s="91"/>
      <c r="I295" s="91"/>
      <c r="J295" s="97"/>
      <c r="K295" s="79"/>
      <c r="L295" s="79"/>
      <c r="M295" s="79" t="str">
        <f>Table728182[[#This Row],[DBA]]&amp;" - "&amp;Table728182[[#This Row],[BIN]]&amp;" - "&amp;Table728182[[#This Row],[CAID]]</f>
        <v xml:space="preserve"> -  - </v>
      </c>
      <c r="N295" s="90"/>
    </row>
    <row r="296" spans="8:14" x14ac:dyDescent="0.25">
      <c r="H296" s="91"/>
      <c r="I296" s="91"/>
      <c r="J296" s="97"/>
      <c r="K296" s="79"/>
      <c r="L296" s="79"/>
      <c r="M296" s="79" t="str">
        <f>Table728182[[#This Row],[DBA]]&amp;" - "&amp;Table728182[[#This Row],[BIN]]&amp;" - "&amp;Table728182[[#This Row],[CAID]]</f>
        <v xml:space="preserve"> -  - </v>
      </c>
      <c r="N296" s="90"/>
    </row>
    <row r="297" spans="8:14" x14ac:dyDescent="0.25">
      <c r="H297" s="91"/>
      <c r="I297" s="91"/>
      <c r="J297" s="97"/>
      <c r="K297" s="79"/>
      <c r="L297" s="79"/>
      <c r="M297" s="79" t="str">
        <f>Table728182[[#This Row],[DBA]]&amp;" - "&amp;Table728182[[#This Row],[BIN]]&amp;" - "&amp;Table728182[[#This Row],[CAID]]</f>
        <v xml:space="preserve"> -  - </v>
      </c>
      <c r="N297" s="90"/>
    </row>
    <row r="298" spans="8:14" x14ac:dyDescent="0.25">
      <c r="H298" s="91"/>
      <c r="I298" s="91"/>
      <c r="J298" s="97"/>
      <c r="K298" s="79"/>
      <c r="L298" s="79"/>
      <c r="M298" s="79" t="str">
        <f>Table728182[[#This Row],[DBA]]&amp;" - "&amp;Table728182[[#This Row],[BIN]]&amp;" - "&amp;Table728182[[#This Row],[CAID]]</f>
        <v xml:space="preserve"> -  - </v>
      </c>
      <c r="N298" s="90"/>
    </row>
    <row r="299" spans="8:14" x14ac:dyDescent="0.25">
      <c r="H299" s="91"/>
      <c r="I299" s="91"/>
      <c r="J299" s="97"/>
      <c r="K299" s="79"/>
      <c r="L299" s="79"/>
      <c r="M299" s="79" t="str">
        <f>Table728182[[#This Row],[DBA]]&amp;" - "&amp;Table728182[[#This Row],[BIN]]&amp;" - "&amp;Table728182[[#This Row],[CAID]]</f>
        <v xml:space="preserve"> -  - </v>
      </c>
      <c r="N299" s="90"/>
    </row>
    <row r="300" spans="8:14" x14ac:dyDescent="0.25">
      <c r="H300" s="91"/>
      <c r="I300" s="91"/>
      <c r="J300" s="97"/>
      <c r="K300" s="79"/>
      <c r="L300" s="79"/>
      <c r="M300" s="79" t="str">
        <f>Table728182[[#This Row],[DBA]]&amp;" - "&amp;Table728182[[#This Row],[BIN]]&amp;" - "&amp;Table728182[[#This Row],[CAID]]</f>
        <v xml:space="preserve"> -  - </v>
      </c>
      <c r="N300" s="90"/>
    </row>
    <row r="301" spans="8:14" x14ac:dyDescent="0.25">
      <c r="H301" s="91"/>
      <c r="I301" s="91"/>
      <c r="J301" s="97"/>
      <c r="K301" s="79"/>
      <c r="L301" s="79"/>
      <c r="M301" s="79" t="str">
        <f>Table728182[[#This Row],[DBA]]&amp;" - "&amp;Table728182[[#This Row],[BIN]]&amp;" - "&amp;Table728182[[#This Row],[CAID]]</f>
        <v xml:space="preserve"> -  - </v>
      </c>
      <c r="N301" s="90"/>
    </row>
    <row r="302" spans="8:14" x14ac:dyDescent="0.25">
      <c r="H302" s="91"/>
      <c r="I302" s="91"/>
      <c r="J302" s="97"/>
      <c r="K302" s="79"/>
      <c r="L302" s="79"/>
      <c r="M302" s="79" t="str">
        <f>Table728182[[#This Row],[DBA]]&amp;" - "&amp;Table728182[[#This Row],[BIN]]&amp;" - "&amp;Table728182[[#This Row],[CAID]]</f>
        <v xml:space="preserve"> -  - </v>
      </c>
      <c r="N302" s="90"/>
    </row>
    <row r="303" spans="8:14" x14ac:dyDescent="0.25">
      <c r="H303" s="91"/>
      <c r="I303" s="91"/>
      <c r="J303" s="97"/>
      <c r="K303" s="79"/>
      <c r="L303" s="79"/>
      <c r="M303" s="79" t="str">
        <f>Table728182[[#This Row],[DBA]]&amp;" - "&amp;Table728182[[#This Row],[BIN]]&amp;" - "&amp;Table728182[[#This Row],[CAID]]</f>
        <v xml:space="preserve"> -  - </v>
      </c>
      <c r="N303" s="90"/>
    </row>
    <row r="304" spans="8:14" x14ac:dyDescent="0.25">
      <c r="H304" s="91"/>
      <c r="I304" s="91"/>
      <c r="J304" s="97"/>
      <c r="K304" s="79"/>
      <c r="L304" s="79"/>
      <c r="M304" s="79" t="str">
        <f>Table728182[[#This Row],[DBA]]&amp;" - "&amp;Table728182[[#This Row],[BIN]]&amp;" - "&amp;Table728182[[#This Row],[CAID]]</f>
        <v xml:space="preserve"> -  - </v>
      </c>
      <c r="N304" s="90"/>
    </row>
    <row r="305" spans="8:14" x14ac:dyDescent="0.25">
      <c r="H305" s="91"/>
      <c r="I305" s="91"/>
      <c r="J305" s="97"/>
      <c r="K305" s="79"/>
      <c r="L305" s="79"/>
      <c r="M305" s="79" t="str">
        <f>Table728182[[#This Row],[DBA]]&amp;" - "&amp;Table728182[[#This Row],[BIN]]&amp;" - "&amp;Table728182[[#This Row],[CAID]]</f>
        <v xml:space="preserve"> -  - </v>
      </c>
      <c r="N305" s="90"/>
    </row>
    <row r="306" spans="8:14" x14ac:dyDescent="0.25">
      <c r="H306" s="92"/>
      <c r="I306" s="92"/>
      <c r="J306" s="97"/>
      <c r="K306" s="89"/>
      <c r="L306" s="89"/>
      <c r="M306" s="89" t="str">
        <f>Table728182[[#This Row],[DBA]]&amp;" - "&amp;Table728182[[#This Row],[BIN]]&amp;" - "&amp;Table728182[[#This Row],[CAID]]</f>
        <v xml:space="preserve"> -  - </v>
      </c>
      <c r="N306" s="90"/>
    </row>
  </sheetData>
  <mergeCells count="5">
    <mergeCell ref="C2:D2"/>
    <mergeCell ref="C6:D6"/>
    <mergeCell ref="H6:O6"/>
    <mergeCell ref="C4:D4"/>
    <mergeCell ref="C3:D3"/>
  </mergeCells>
  <dataValidations count="11">
    <dataValidation type="list" allowBlank="1" showInputMessage="1" sqref="D15 D20 D25 D30 D35 D40 D10:D11" xr:uid="{EDF16DFD-51C1-4310-B3DF-D4A93109353B}">
      <formula1>INDIRECT(SUBSTITUTE(B10&amp;C10," ",""))</formula1>
    </dataValidation>
    <dataValidation type="list" allowBlank="1" showInputMessage="1" showErrorMessage="1" sqref="C15 C20 C25 C30 C35 C40 C10:C11" xr:uid="{94456C97-3D56-4352-A5B6-99C92C87F59A}">
      <formula1>INDIRECT(B10)</formula1>
    </dataValidation>
    <dataValidation type="list" allowBlank="1" showInputMessage="1" showErrorMessage="1" sqref="B10:B11 B15 B20 B25 B30 B35 B40" xr:uid="{8E7A7CC2-E169-412F-9942-0838F848E961}">
      <formula1>Rule</formula1>
    </dataValidation>
    <dataValidation type="textLength" allowBlank="1" showInputMessage="1" showErrorMessage="1" promptTitle="BIN" prompt="The BIN has to be 6 characters only" sqref="H9:H306" xr:uid="{CC8A47AA-D759-4F2A-B3EC-CDE2F225E542}">
      <formula1>6</formula1>
      <formula2>6</formula2>
    </dataValidation>
    <dataValidation type="textLength" allowBlank="1" showInputMessage="1" showErrorMessage="1" promptTitle="CAID" prompt="CAID cannot be greater than 15 characters" sqref="I9:I306" xr:uid="{323C153F-F714-4349-BE05-2D0AC321C018}">
      <formula1>0</formula1>
      <formula2>15</formula2>
    </dataValidation>
    <dataValidation allowBlank="1" showInputMessage="1" showErrorMessage="1" promptTitle="Do not change this cell" prompt="The function attached will create the merchant name.  This is for Verifi Only" sqref="M9:M306" xr:uid="{A2A4BD5F-F4AD-46EE-A53B-3423DB5224D1}"/>
    <dataValidation type="textLength" allowBlank="1" showInputMessage="1" showErrorMessage="1" promptTitle="DBA" prompt="DBA can only be up to 20 characters" sqref="L9:L306" xr:uid="{423D50AF-0A07-48C2-8E1D-43D960756EE9}">
      <formula1>0</formula1>
      <formula2>20</formula2>
    </dataValidation>
    <dataValidation allowBlank="1" showInputMessage="1" showErrorMessage="1" promptTitle="Merchant Category Code" prompt="This is the Merchant Category Code associated with the BIN/CAID" sqref="K9:K306" xr:uid="{EBEBC66D-FBDE-416C-827C-C8313727B65F}"/>
    <dataValidation allowBlank="1" showInputMessage="1" showErrorMessage="1" promptTitle="Merchant ID" prompt="This cell contains the Merchant ID for the Merchant account.  This will be populated by Verifi" sqref="N9:N306" xr:uid="{90A8B153-0970-4EBC-A1E1-E8D3B63F455B}"/>
    <dataValidation allowBlank="1" showInputMessage="1" showErrorMessage="1" promptTitle="ARN (Acquirer Reference Number)" prompt="ARN (Acquirer Reference Number)" sqref="J9:J306" xr:uid="{92AC86B0-6309-4A9F-9626-D9A2F02A48E9}"/>
    <dataValidation allowBlank="1" showInputMessage="1" showErrorMessage="1" promptTitle="Rule Name" prompt="Rule Name is the rule identifier created by the seller and made available in reporting for insight into why an RDR case_x000a_was accepted. _x000a__x000a_Keep rule names short, explicit, and clear enough to be referenced in RDR communications. _x000a__x000a_" sqref="C6:D6" xr:uid="{4AFBD15C-17B1-406B-9CC0-5F1138DC91F4}"/>
  </dataValidations>
  <pageMargins left="0.75" right="0.75" top="0.75" bottom="0.75" header="0.5" footer="0.5"/>
  <pageSetup orientation="portrait" r:id="rId1"/>
  <headerFooter alignWithMargins="0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41B42-F833-4B63-823C-835DED44DA71}">
  <dimension ref="B1:O306"/>
  <sheetViews>
    <sheetView showGridLines="0" workbookViewId="0">
      <selection activeCell="C2" sqref="C2:D2"/>
    </sheetView>
  </sheetViews>
  <sheetFormatPr defaultColWidth="8.77734375" defaultRowHeight="13.2" x14ac:dyDescent="0.25"/>
  <cols>
    <col min="1" max="1" width="2.21875" style="3" customWidth="1"/>
    <col min="2" max="2" width="24.77734375" style="3" bestFit="1" customWidth="1"/>
    <col min="3" max="3" width="22.77734375" style="3" customWidth="1"/>
    <col min="4" max="4" width="41.21875" style="3" bestFit="1" customWidth="1"/>
    <col min="5" max="5" width="13.21875" style="3" customWidth="1"/>
    <col min="6" max="6" width="8.77734375" style="3"/>
    <col min="7" max="7" width="14.44140625" style="3" customWidth="1"/>
    <col min="8" max="8" width="10.21875" style="3" customWidth="1"/>
    <col min="9" max="10" width="25.21875" style="3" customWidth="1"/>
    <col min="11" max="11" width="12.44140625" style="3" bestFit="1" customWidth="1"/>
    <col min="12" max="12" width="12.44140625" style="3" customWidth="1"/>
    <col min="13" max="13" width="34" style="3" bestFit="1" customWidth="1"/>
    <col min="14" max="14" width="28" style="3" customWidth="1"/>
    <col min="15" max="15" width="14.21875" style="3" bestFit="1" customWidth="1"/>
    <col min="16" max="16384" width="8.77734375" style="3"/>
  </cols>
  <sheetData>
    <row r="1" spans="2:15" ht="13.8" thickBot="1" x14ac:dyDescent="0.3"/>
    <row r="2" spans="2:15" ht="13.8" thickBot="1" x14ac:dyDescent="0.3">
      <c r="B2" s="100" t="s">
        <v>345</v>
      </c>
      <c r="C2" s="116" t="s">
        <v>347</v>
      </c>
      <c r="D2" s="117"/>
      <c r="I2" s="95"/>
      <c r="J2" s="95"/>
    </row>
    <row r="3" spans="2:15" ht="13.8" thickBot="1" x14ac:dyDescent="0.3">
      <c r="B3" s="101" t="s">
        <v>344</v>
      </c>
      <c r="C3" s="116">
        <v>11600</v>
      </c>
      <c r="D3" s="117"/>
      <c r="I3" s="95"/>
      <c r="J3" s="95"/>
    </row>
    <row r="4" spans="2:15" ht="13.8" thickBot="1" x14ac:dyDescent="0.3">
      <c r="B4" s="100" t="s">
        <v>332</v>
      </c>
      <c r="C4" s="112"/>
      <c r="D4" s="112"/>
      <c r="I4" s="95"/>
      <c r="J4" s="95"/>
    </row>
    <row r="5" spans="2:15" ht="13.8" thickBot="1" x14ac:dyDescent="0.3">
      <c r="B5" s="101" t="s">
        <v>343</v>
      </c>
      <c r="C5" s="102"/>
      <c r="D5" s="103"/>
      <c r="I5" s="95"/>
      <c r="J5" s="95"/>
    </row>
    <row r="6" spans="2:15" ht="13.8" thickBot="1" x14ac:dyDescent="0.3">
      <c r="B6" s="100" t="s">
        <v>334</v>
      </c>
      <c r="C6" s="112"/>
      <c r="D6" s="112"/>
      <c r="H6" s="113" t="s">
        <v>330</v>
      </c>
      <c r="I6" s="114"/>
      <c r="J6" s="114"/>
      <c r="K6" s="114"/>
      <c r="L6" s="114"/>
      <c r="M6" s="114"/>
      <c r="N6" s="114"/>
      <c r="O6" s="115"/>
    </row>
    <row r="7" spans="2:15" x14ac:dyDescent="0.25">
      <c r="B7" s="87"/>
      <c r="C7" s="87"/>
    </row>
    <row r="8" spans="2:15" ht="13.8" thickBot="1" x14ac:dyDescent="0.3">
      <c r="C8" s="13"/>
      <c r="H8" s="13" t="s">
        <v>84</v>
      </c>
      <c r="I8" s="13" t="s">
        <v>85</v>
      </c>
      <c r="J8" s="88" t="s">
        <v>342</v>
      </c>
      <c r="K8" s="88" t="s">
        <v>339</v>
      </c>
      <c r="L8" s="88" t="s">
        <v>333</v>
      </c>
      <c r="M8" s="93" t="s">
        <v>340</v>
      </c>
      <c r="N8" s="94" t="s">
        <v>341</v>
      </c>
    </row>
    <row r="9" spans="2:15" ht="18.75" customHeight="1" thickBot="1" x14ac:dyDescent="0.3">
      <c r="B9" s="80" t="s">
        <v>329</v>
      </c>
      <c r="C9" s="81" t="s">
        <v>64</v>
      </c>
      <c r="D9" s="82" t="s">
        <v>63</v>
      </c>
      <c r="H9" s="96"/>
      <c r="I9" s="96"/>
      <c r="J9" s="98"/>
      <c r="K9" s="99"/>
      <c r="L9" s="99"/>
      <c r="M9" s="90" t="str">
        <f>Table72818216[[#This Row],[DBA]]&amp;" - "&amp;Table72818216[[#This Row],[BIN]]&amp;" - "&amp;Table72818216[[#This Row],[CAID]]</f>
        <v xml:space="preserve"> -  - </v>
      </c>
      <c r="N9" s="90"/>
    </row>
    <row r="10" spans="2:15" ht="13.8" thickBot="1" x14ac:dyDescent="0.3">
      <c r="B10" s="83"/>
      <c r="C10" s="84"/>
      <c r="D10" s="83"/>
      <c r="H10" s="91"/>
      <c r="I10" s="91"/>
      <c r="J10" s="97"/>
      <c r="K10" s="79"/>
      <c r="L10" s="79"/>
      <c r="M10" s="79" t="str">
        <f>Table72818216[[#This Row],[DBA]]&amp;" - "&amp;Table72818216[[#This Row],[BIN]]&amp;" - "&amp;Table72818216[[#This Row],[CAID]]</f>
        <v xml:space="preserve"> -  - </v>
      </c>
      <c r="N10" s="90"/>
    </row>
    <row r="11" spans="2:15" x14ac:dyDescent="0.25">
      <c r="B11" s="85"/>
      <c r="C11" s="86"/>
      <c r="D11" s="85"/>
      <c r="H11" s="91"/>
      <c r="I11" s="91"/>
      <c r="J11" s="97"/>
      <c r="K11" s="79"/>
      <c r="L11" s="79"/>
      <c r="M11" s="79" t="str">
        <f>Table72818216[[#This Row],[DBA]]&amp;" - "&amp;Table72818216[[#This Row],[BIN]]&amp;" - "&amp;Table72818216[[#This Row],[CAID]]</f>
        <v xml:space="preserve"> -  - </v>
      </c>
      <c r="N11" s="90"/>
    </row>
    <row r="12" spans="2:15" x14ac:dyDescent="0.25">
      <c r="C12" s="30" t="s">
        <v>83</v>
      </c>
      <c r="H12" s="91"/>
      <c r="I12" s="91"/>
      <c r="J12" s="97"/>
      <c r="K12" s="79"/>
      <c r="L12" s="79"/>
      <c r="M12" s="79" t="str">
        <f>Table72818216[[#This Row],[DBA]]&amp;" - "&amp;Table72818216[[#This Row],[BIN]]&amp;" - "&amp;Table72818216[[#This Row],[CAID]]</f>
        <v xml:space="preserve"> -  - </v>
      </c>
      <c r="N12" s="90"/>
    </row>
    <row r="13" spans="2:15" ht="13.8" thickBot="1" x14ac:dyDescent="0.3">
      <c r="C13" s="29"/>
      <c r="H13" s="91"/>
      <c r="I13" s="91"/>
      <c r="J13" s="97"/>
      <c r="K13" s="79"/>
      <c r="L13" s="79"/>
      <c r="M13" s="79" t="str">
        <f>Table72818216[[#This Row],[DBA]]&amp;" - "&amp;Table72818216[[#This Row],[BIN]]&amp;" - "&amp;Table72818216[[#This Row],[CAID]]</f>
        <v xml:space="preserve"> -  - </v>
      </c>
      <c r="N13" s="90"/>
    </row>
    <row r="14" spans="2:15" ht="13.8" thickBot="1" x14ac:dyDescent="0.3">
      <c r="B14" s="80" t="s">
        <v>329</v>
      </c>
      <c r="C14" s="81" t="s">
        <v>64</v>
      </c>
      <c r="D14" s="82" t="s">
        <v>63</v>
      </c>
      <c r="H14" s="91"/>
      <c r="I14" s="91"/>
      <c r="J14" s="97"/>
      <c r="K14" s="79"/>
      <c r="L14" s="79"/>
      <c r="M14" s="79" t="str">
        <f>Table72818216[[#This Row],[DBA]]&amp;" - "&amp;Table72818216[[#This Row],[BIN]]&amp;" - "&amp;Table72818216[[#This Row],[CAID]]</f>
        <v xml:space="preserve"> -  - </v>
      </c>
      <c r="N14" s="90"/>
    </row>
    <row r="15" spans="2:15" ht="13.8" thickBot="1" x14ac:dyDescent="0.3">
      <c r="B15" s="83"/>
      <c r="C15" s="84"/>
      <c r="D15" s="83"/>
      <c r="H15" s="91"/>
      <c r="I15" s="91"/>
      <c r="J15" s="97"/>
      <c r="K15" s="79"/>
      <c r="L15" s="79"/>
      <c r="M15" s="79" t="str">
        <f>Table72818216[[#This Row],[DBA]]&amp;" - "&amp;Table72818216[[#This Row],[BIN]]&amp;" - "&amp;Table72818216[[#This Row],[CAID]]</f>
        <v xml:space="preserve"> -  - </v>
      </c>
      <c r="N15" s="90"/>
    </row>
    <row r="16" spans="2:15" x14ac:dyDescent="0.25">
      <c r="H16" s="91"/>
      <c r="I16" s="91"/>
      <c r="J16" s="97"/>
      <c r="K16" s="79"/>
      <c r="L16" s="79"/>
      <c r="M16" s="79" t="str">
        <f>Table72818216[[#This Row],[DBA]]&amp;" - "&amp;Table72818216[[#This Row],[BIN]]&amp;" - "&amp;Table72818216[[#This Row],[CAID]]</f>
        <v xml:space="preserve"> -  - </v>
      </c>
      <c r="N16" s="90"/>
    </row>
    <row r="17" spans="2:14" x14ac:dyDescent="0.25">
      <c r="C17" s="30" t="s">
        <v>83</v>
      </c>
      <c r="H17" s="91"/>
      <c r="I17" s="91"/>
      <c r="J17" s="97"/>
      <c r="K17" s="79"/>
      <c r="L17" s="79"/>
      <c r="M17" s="79" t="str">
        <f>Table72818216[[#This Row],[DBA]]&amp;" - "&amp;Table72818216[[#This Row],[BIN]]&amp;" - "&amp;Table72818216[[#This Row],[CAID]]</f>
        <v xml:space="preserve"> -  - </v>
      </c>
      <c r="N17" s="90"/>
    </row>
    <row r="18" spans="2:14" ht="13.8" thickBot="1" x14ac:dyDescent="0.3">
      <c r="C18" s="29"/>
      <c r="H18" s="91"/>
      <c r="I18" s="91"/>
      <c r="J18" s="97"/>
      <c r="K18" s="79"/>
      <c r="L18" s="79"/>
      <c r="M18" s="79" t="str">
        <f>Table72818216[[#This Row],[DBA]]&amp;" - "&amp;Table72818216[[#This Row],[BIN]]&amp;" - "&amp;Table72818216[[#This Row],[CAID]]</f>
        <v xml:space="preserve"> -  - </v>
      </c>
      <c r="N18" s="90"/>
    </row>
    <row r="19" spans="2:14" ht="13.8" thickBot="1" x14ac:dyDescent="0.3">
      <c r="B19" s="80" t="s">
        <v>329</v>
      </c>
      <c r="C19" s="81" t="s">
        <v>64</v>
      </c>
      <c r="D19" s="82" t="s">
        <v>63</v>
      </c>
      <c r="H19" s="91"/>
      <c r="I19" s="91"/>
      <c r="J19" s="97"/>
      <c r="K19" s="79"/>
      <c r="L19" s="79"/>
      <c r="M19" s="79" t="str">
        <f>Table72818216[[#This Row],[DBA]]&amp;" - "&amp;Table72818216[[#This Row],[BIN]]&amp;" - "&amp;Table72818216[[#This Row],[CAID]]</f>
        <v xml:space="preserve"> -  - </v>
      </c>
      <c r="N19" s="90"/>
    </row>
    <row r="20" spans="2:14" ht="13.8" thickBot="1" x14ac:dyDescent="0.3">
      <c r="B20" s="83"/>
      <c r="C20" s="84"/>
      <c r="D20" s="83"/>
      <c r="H20" s="91"/>
      <c r="I20" s="91"/>
      <c r="J20" s="97"/>
      <c r="K20" s="79"/>
      <c r="L20" s="79"/>
      <c r="M20" s="79" t="str">
        <f>Table72818216[[#This Row],[DBA]]&amp;" - "&amp;Table72818216[[#This Row],[BIN]]&amp;" - "&amp;Table72818216[[#This Row],[CAID]]</f>
        <v xml:space="preserve"> -  - </v>
      </c>
      <c r="N20" s="90"/>
    </row>
    <row r="21" spans="2:14" x14ac:dyDescent="0.25">
      <c r="H21" s="91"/>
      <c r="I21" s="91"/>
      <c r="J21" s="97"/>
      <c r="K21" s="79"/>
      <c r="L21" s="79"/>
      <c r="M21" s="79" t="str">
        <f>Table72818216[[#This Row],[DBA]]&amp;" - "&amp;Table72818216[[#This Row],[BIN]]&amp;" - "&amp;Table72818216[[#This Row],[CAID]]</f>
        <v xml:space="preserve"> -  - </v>
      </c>
      <c r="N21" s="90"/>
    </row>
    <row r="22" spans="2:14" x14ac:dyDescent="0.25">
      <c r="C22" s="30" t="s">
        <v>83</v>
      </c>
      <c r="H22" s="91"/>
      <c r="I22" s="91"/>
      <c r="J22" s="97"/>
      <c r="K22" s="79"/>
      <c r="L22" s="79"/>
      <c r="M22" s="79" t="str">
        <f>Table72818216[[#This Row],[DBA]]&amp;" - "&amp;Table72818216[[#This Row],[BIN]]&amp;" - "&amp;Table72818216[[#This Row],[CAID]]</f>
        <v xml:space="preserve"> -  - </v>
      </c>
      <c r="N22" s="90"/>
    </row>
    <row r="23" spans="2:14" ht="13.8" thickBot="1" x14ac:dyDescent="0.3">
      <c r="C23" s="29"/>
      <c r="H23" s="91"/>
      <c r="I23" s="91"/>
      <c r="J23" s="97"/>
      <c r="K23" s="79"/>
      <c r="L23" s="79"/>
      <c r="M23" s="79" t="str">
        <f>Table72818216[[#This Row],[DBA]]&amp;" - "&amp;Table72818216[[#This Row],[BIN]]&amp;" - "&amp;Table72818216[[#This Row],[CAID]]</f>
        <v xml:space="preserve"> -  - </v>
      </c>
      <c r="N23" s="90"/>
    </row>
    <row r="24" spans="2:14" ht="13.8" thickBot="1" x14ac:dyDescent="0.3">
      <c r="B24" s="80" t="s">
        <v>329</v>
      </c>
      <c r="C24" s="81" t="s">
        <v>64</v>
      </c>
      <c r="D24" s="82" t="s">
        <v>63</v>
      </c>
      <c r="H24" s="91"/>
      <c r="I24" s="91"/>
      <c r="J24" s="97"/>
      <c r="K24" s="79"/>
      <c r="L24" s="79"/>
      <c r="M24" s="79" t="str">
        <f>Table72818216[[#This Row],[DBA]]&amp;" - "&amp;Table72818216[[#This Row],[BIN]]&amp;" - "&amp;Table72818216[[#This Row],[CAID]]</f>
        <v xml:space="preserve"> -  - </v>
      </c>
      <c r="N24" s="90"/>
    </row>
    <row r="25" spans="2:14" ht="13.8" thickBot="1" x14ac:dyDescent="0.3">
      <c r="B25" s="83"/>
      <c r="C25" s="84"/>
      <c r="D25" s="83"/>
      <c r="H25" s="91"/>
      <c r="I25" s="91"/>
      <c r="J25" s="97"/>
      <c r="K25" s="79"/>
      <c r="L25" s="79"/>
      <c r="M25" s="79" t="str">
        <f>Table72818216[[#This Row],[DBA]]&amp;" - "&amp;Table72818216[[#This Row],[BIN]]&amp;" - "&amp;Table72818216[[#This Row],[CAID]]</f>
        <v xml:space="preserve"> -  - </v>
      </c>
      <c r="N25" s="90"/>
    </row>
    <row r="26" spans="2:14" x14ac:dyDescent="0.25">
      <c r="H26" s="91"/>
      <c r="I26" s="91"/>
      <c r="J26" s="97"/>
      <c r="K26" s="79"/>
      <c r="L26" s="79"/>
      <c r="M26" s="79" t="str">
        <f>Table72818216[[#This Row],[DBA]]&amp;" - "&amp;Table72818216[[#This Row],[BIN]]&amp;" - "&amp;Table72818216[[#This Row],[CAID]]</f>
        <v xml:space="preserve"> -  - </v>
      </c>
      <c r="N26" s="90"/>
    </row>
    <row r="27" spans="2:14" x14ac:dyDescent="0.25">
      <c r="C27" s="30" t="s">
        <v>83</v>
      </c>
      <c r="H27" s="91"/>
      <c r="I27" s="91"/>
      <c r="J27" s="97"/>
      <c r="K27" s="79"/>
      <c r="L27" s="79"/>
      <c r="M27" s="79" t="str">
        <f>Table72818216[[#This Row],[DBA]]&amp;" - "&amp;Table72818216[[#This Row],[BIN]]&amp;" - "&amp;Table72818216[[#This Row],[CAID]]</f>
        <v xml:space="preserve"> -  - </v>
      </c>
      <c r="N27" s="90"/>
    </row>
    <row r="28" spans="2:14" ht="13.8" thickBot="1" x14ac:dyDescent="0.3">
      <c r="C28" s="29"/>
      <c r="H28" s="91"/>
      <c r="I28" s="91"/>
      <c r="J28" s="97"/>
      <c r="K28" s="79"/>
      <c r="L28" s="79"/>
      <c r="M28" s="79" t="str">
        <f>Table72818216[[#This Row],[DBA]]&amp;" - "&amp;Table72818216[[#This Row],[BIN]]&amp;" - "&amp;Table72818216[[#This Row],[CAID]]</f>
        <v xml:space="preserve"> -  - </v>
      </c>
      <c r="N28" s="90"/>
    </row>
    <row r="29" spans="2:14" ht="13.8" thickBot="1" x14ac:dyDescent="0.3">
      <c r="B29" s="80" t="s">
        <v>329</v>
      </c>
      <c r="C29" s="81" t="s">
        <v>64</v>
      </c>
      <c r="D29" s="82" t="s">
        <v>63</v>
      </c>
      <c r="H29" s="91"/>
      <c r="I29" s="91"/>
      <c r="J29" s="97"/>
      <c r="K29" s="79"/>
      <c r="L29" s="79"/>
      <c r="M29" s="79" t="str">
        <f>Table72818216[[#This Row],[DBA]]&amp;" - "&amp;Table72818216[[#This Row],[BIN]]&amp;" - "&amp;Table72818216[[#This Row],[CAID]]</f>
        <v xml:space="preserve"> -  - </v>
      </c>
      <c r="N29" s="90"/>
    </row>
    <row r="30" spans="2:14" ht="13.8" thickBot="1" x14ac:dyDescent="0.3">
      <c r="B30" s="83"/>
      <c r="C30" s="84"/>
      <c r="D30" s="83"/>
      <c r="H30" s="91"/>
      <c r="I30" s="91"/>
      <c r="J30" s="97"/>
      <c r="K30" s="79"/>
      <c r="L30" s="79"/>
      <c r="M30" s="79" t="str">
        <f>Table72818216[[#This Row],[DBA]]&amp;" - "&amp;Table72818216[[#This Row],[BIN]]&amp;" - "&amp;Table72818216[[#This Row],[CAID]]</f>
        <v xml:space="preserve"> -  - </v>
      </c>
      <c r="N30" s="90"/>
    </row>
    <row r="31" spans="2:14" x14ac:dyDescent="0.25">
      <c r="H31" s="91"/>
      <c r="I31" s="91"/>
      <c r="J31" s="97"/>
      <c r="K31" s="79"/>
      <c r="L31" s="79"/>
      <c r="M31" s="79" t="str">
        <f>Table72818216[[#This Row],[DBA]]&amp;" - "&amp;Table72818216[[#This Row],[BIN]]&amp;" - "&amp;Table72818216[[#This Row],[CAID]]</f>
        <v xml:space="preserve"> -  - </v>
      </c>
      <c r="N31" s="90"/>
    </row>
    <row r="32" spans="2:14" x14ac:dyDescent="0.25">
      <c r="C32" s="30" t="s">
        <v>83</v>
      </c>
      <c r="H32" s="91"/>
      <c r="I32" s="91"/>
      <c r="J32" s="97"/>
      <c r="K32" s="79"/>
      <c r="L32" s="79"/>
      <c r="M32" s="79" t="str">
        <f>Table72818216[[#This Row],[DBA]]&amp;" - "&amp;Table72818216[[#This Row],[BIN]]&amp;" - "&amp;Table72818216[[#This Row],[CAID]]</f>
        <v xml:space="preserve"> -  - </v>
      </c>
      <c r="N32" s="90"/>
    </row>
    <row r="33" spans="2:14" ht="13.8" thickBot="1" x14ac:dyDescent="0.3">
      <c r="C33" s="29"/>
      <c r="H33" s="91"/>
      <c r="I33" s="91"/>
      <c r="J33" s="97"/>
      <c r="K33" s="79"/>
      <c r="L33" s="79"/>
      <c r="M33" s="79" t="str">
        <f>Table72818216[[#This Row],[DBA]]&amp;" - "&amp;Table72818216[[#This Row],[BIN]]&amp;" - "&amp;Table72818216[[#This Row],[CAID]]</f>
        <v xml:space="preserve"> -  - </v>
      </c>
      <c r="N33" s="90"/>
    </row>
    <row r="34" spans="2:14" ht="13.8" thickBot="1" x14ac:dyDescent="0.3">
      <c r="B34" s="80" t="s">
        <v>329</v>
      </c>
      <c r="C34" s="81" t="s">
        <v>64</v>
      </c>
      <c r="D34" s="82" t="s">
        <v>63</v>
      </c>
      <c r="H34" s="91"/>
      <c r="I34" s="91"/>
      <c r="J34" s="97"/>
      <c r="K34" s="79"/>
      <c r="L34" s="79"/>
      <c r="M34" s="79" t="str">
        <f>Table72818216[[#This Row],[DBA]]&amp;" - "&amp;Table72818216[[#This Row],[BIN]]&amp;" - "&amp;Table72818216[[#This Row],[CAID]]</f>
        <v xml:space="preserve"> -  - </v>
      </c>
      <c r="N34" s="90"/>
    </row>
    <row r="35" spans="2:14" ht="13.8" thickBot="1" x14ac:dyDescent="0.3">
      <c r="B35" s="83"/>
      <c r="C35" s="84"/>
      <c r="D35" s="83"/>
      <c r="H35" s="91"/>
      <c r="I35" s="91"/>
      <c r="J35" s="97"/>
      <c r="K35" s="79"/>
      <c r="L35" s="79"/>
      <c r="M35" s="79" t="str">
        <f>Table72818216[[#This Row],[DBA]]&amp;" - "&amp;Table72818216[[#This Row],[BIN]]&amp;" - "&amp;Table72818216[[#This Row],[CAID]]</f>
        <v xml:space="preserve"> -  - </v>
      </c>
      <c r="N35" s="90"/>
    </row>
    <row r="36" spans="2:14" x14ac:dyDescent="0.25">
      <c r="H36" s="91"/>
      <c r="I36" s="91"/>
      <c r="J36" s="97"/>
      <c r="K36" s="79"/>
      <c r="L36" s="79"/>
      <c r="M36" s="79" t="str">
        <f>Table72818216[[#This Row],[DBA]]&amp;" - "&amp;Table72818216[[#This Row],[BIN]]&amp;" - "&amp;Table72818216[[#This Row],[CAID]]</f>
        <v xml:space="preserve"> -  - </v>
      </c>
      <c r="N36" s="90"/>
    </row>
    <row r="37" spans="2:14" x14ac:dyDescent="0.25">
      <c r="C37" s="30" t="s">
        <v>83</v>
      </c>
      <c r="H37" s="91"/>
      <c r="I37" s="91"/>
      <c r="J37" s="97"/>
      <c r="K37" s="79"/>
      <c r="L37" s="79"/>
      <c r="M37" s="79" t="str">
        <f>Table72818216[[#This Row],[DBA]]&amp;" - "&amp;Table72818216[[#This Row],[BIN]]&amp;" - "&amp;Table72818216[[#This Row],[CAID]]</f>
        <v xml:space="preserve"> -  - </v>
      </c>
      <c r="N37" s="90"/>
    </row>
    <row r="38" spans="2:14" ht="13.8" thickBot="1" x14ac:dyDescent="0.3">
      <c r="C38" s="29"/>
      <c r="H38" s="91"/>
      <c r="I38" s="91"/>
      <c r="J38" s="97"/>
      <c r="K38" s="79"/>
      <c r="L38" s="79"/>
      <c r="M38" s="79" t="str">
        <f>Table72818216[[#This Row],[DBA]]&amp;" - "&amp;Table72818216[[#This Row],[BIN]]&amp;" - "&amp;Table72818216[[#This Row],[CAID]]</f>
        <v xml:space="preserve"> -  - </v>
      </c>
      <c r="N38" s="90"/>
    </row>
    <row r="39" spans="2:14" ht="13.8" thickBot="1" x14ac:dyDescent="0.3">
      <c r="B39" s="80" t="s">
        <v>329</v>
      </c>
      <c r="C39" s="81" t="s">
        <v>64</v>
      </c>
      <c r="D39" s="82" t="s">
        <v>63</v>
      </c>
      <c r="H39" s="91"/>
      <c r="I39" s="91"/>
      <c r="J39" s="97"/>
      <c r="K39" s="79"/>
      <c r="L39" s="79"/>
      <c r="M39" s="79" t="str">
        <f>Table72818216[[#This Row],[DBA]]&amp;" - "&amp;Table72818216[[#This Row],[BIN]]&amp;" - "&amp;Table72818216[[#This Row],[CAID]]</f>
        <v xml:space="preserve"> -  - </v>
      </c>
      <c r="N39" s="90"/>
    </row>
    <row r="40" spans="2:14" ht="13.8" thickBot="1" x14ac:dyDescent="0.3">
      <c r="B40" s="83"/>
      <c r="C40" s="84"/>
      <c r="D40" s="83"/>
      <c r="H40" s="91"/>
      <c r="I40" s="91"/>
      <c r="J40" s="97"/>
      <c r="K40" s="89"/>
      <c r="L40" s="89"/>
      <c r="M40" s="79" t="str">
        <f>Table72818216[[#This Row],[DBA]]&amp;" - "&amp;Table72818216[[#This Row],[BIN]]&amp;" - "&amp;Table72818216[[#This Row],[CAID]]</f>
        <v xml:space="preserve"> -  - </v>
      </c>
      <c r="N40" s="90"/>
    </row>
    <row r="41" spans="2:14" x14ac:dyDescent="0.25">
      <c r="H41" s="91"/>
      <c r="I41" s="91"/>
      <c r="J41" s="97"/>
      <c r="K41" s="79"/>
      <c r="L41" s="79"/>
      <c r="M41" s="79" t="str">
        <f>Table72818216[[#This Row],[DBA]]&amp;" - "&amp;Table72818216[[#This Row],[BIN]]&amp;" - "&amp;Table72818216[[#This Row],[CAID]]</f>
        <v xml:space="preserve"> -  - </v>
      </c>
      <c r="N41" s="90"/>
    </row>
    <row r="42" spans="2:14" x14ac:dyDescent="0.25">
      <c r="H42" s="91"/>
      <c r="I42" s="91"/>
      <c r="J42" s="97"/>
      <c r="K42" s="79"/>
      <c r="L42" s="79"/>
      <c r="M42" s="79" t="str">
        <f>Table72818216[[#This Row],[DBA]]&amp;" - "&amp;Table72818216[[#This Row],[BIN]]&amp;" - "&amp;Table72818216[[#This Row],[CAID]]</f>
        <v xml:space="preserve"> -  - </v>
      </c>
      <c r="N42" s="90"/>
    </row>
    <row r="43" spans="2:14" x14ac:dyDescent="0.25">
      <c r="H43" s="91"/>
      <c r="I43" s="91"/>
      <c r="J43" s="97"/>
      <c r="K43" s="79"/>
      <c r="L43" s="79"/>
      <c r="M43" s="79" t="str">
        <f>Table72818216[[#This Row],[DBA]]&amp;" - "&amp;Table72818216[[#This Row],[BIN]]&amp;" - "&amp;Table72818216[[#This Row],[CAID]]</f>
        <v xml:space="preserve"> -  - </v>
      </c>
      <c r="N43" s="90"/>
    </row>
    <row r="44" spans="2:14" x14ac:dyDescent="0.25">
      <c r="H44" s="91"/>
      <c r="I44" s="91"/>
      <c r="J44" s="97"/>
      <c r="K44" s="79"/>
      <c r="L44" s="79"/>
      <c r="M44" s="79" t="str">
        <f>Table72818216[[#This Row],[DBA]]&amp;" - "&amp;Table72818216[[#This Row],[BIN]]&amp;" - "&amp;Table72818216[[#This Row],[CAID]]</f>
        <v xml:space="preserve"> -  - </v>
      </c>
      <c r="N44" s="90"/>
    </row>
    <row r="45" spans="2:14" x14ac:dyDescent="0.25">
      <c r="H45" s="91"/>
      <c r="I45" s="91"/>
      <c r="J45" s="97"/>
      <c r="K45" s="79"/>
      <c r="L45" s="79"/>
      <c r="M45" s="79" t="str">
        <f>Table72818216[[#This Row],[DBA]]&amp;" - "&amp;Table72818216[[#This Row],[BIN]]&amp;" - "&amp;Table72818216[[#This Row],[CAID]]</f>
        <v xml:space="preserve"> -  - </v>
      </c>
      <c r="N45" s="90"/>
    </row>
    <row r="46" spans="2:14" x14ac:dyDescent="0.25">
      <c r="H46" s="91"/>
      <c r="I46" s="91"/>
      <c r="J46" s="97"/>
      <c r="K46" s="79"/>
      <c r="L46" s="79"/>
      <c r="M46" s="79" t="str">
        <f>Table72818216[[#This Row],[DBA]]&amp;" - "&amp;Table72818216[[#This Row],[BIN]]&amp;" - "&amp;Table72818216[[#This Row],[CAID]]</f>
        <v xml:space="preserve"> -  - </v>
      </c>
      <c r="N46" s="90"/>
    </row>
    <row r="47" spans="2:14" x14ac:dyDescent="0.25">
      <c r="H47" s="91"/>
      <c r="I47" s="91"/>
      <c r="J47" s="97"/>
      <c r="K47" s="79"/>
      <c r="L47" s="79"/>
      <c r="M47" s="79" t="str">
        <f>Table72818216[[#This Row],[DBA]]&amp;" - "&amp;Table72818216[[#This Row],[BIN]]&amp;" - "&amp;Table72818216[[#This Row],[CAID]]</f>
        <v xml:space="preserve"> -  - </v>
      </c>
      <c r="N47" s="90"/>
    </row>
    <row r="48" spans="2:14" x14ac:dyDescent="0.25">
      <c r="H48" s="91"/>
      <c r="I48" s="91"/>
      <c r="J48" s="97"/>
      <c r="K48" s="79"/>
      <c r="L48" s="79"/>
      <c r="M48" s="79" t="str">
        <f>Table72818216[[#This Row],[DBA]]&amp;" - "&amp;Table72818216[[#This Row],[BIN]]&amp;" - "&amp;Table72818216[[#This Row],[CAID]]</f>
        <v xml:space="preserve"> -  - </v>
      </c>
      <c r="N48" s="90"/>
    </row>
    <row r="49" spans="8:14" x14ac:dyDescent="0.25">
      <c r="H49" s="91"/>
      <c r="I49" s="91"/>
      <c r="J49" s="97"/>
      <c r="K49" s="79"/>
      <c r="L49" s="79"/>
      <c r="M49" s="79" t="str">
        <f>Table72818216[[#This Row],[DBA]]&amp;" - "&amp;Table72818216[[#This Row],[BIN]]&amp;" - "&amp;Table72818216[[#This Row],[CAID]]</f>
        <v xml:space="preserve"> -  - </v>
      </c>
      <c r="N49" s="90"/>
    </row>
    <row r="50" spans="8:14" x14ac:dyDescent="0.25">
      <c r="H50" s="91"/>
      <c r="I50" s="91"/>
      <c r="J50" s="97"/>
      <c r="K50" s="79"/>
      <c r="L50" s="79"/>
      <c r="M50" s="79" t="str">
        <f>Table72818216[[#This Row],[DBA]]&amp;" - "&amp;Table72818216[[#This Row],[BIN]]&amp;" - "&amp;Table72818216[[#This Row],[CAID]]</f>
        <v xml:space="preserve"> -  - </v>
      </c>
      <c r="N50" s="90"/>
    </row>
    <row r="51" spans="8:14" x14ac:dyDescent="0.25">
      <c r="H51" s="91"/>
      <c r="I51" s="91"/>
      <c r="J51" s="97"/>
      <c r="K51" s="79"/>
      <c r="L51" s="79"/>
      <c r="M51" s="79" t="str">
        <f>Table72818216[[#This Row],[DBA]]&amp;" - "&amp;Table72818216[[#This Row],[BIN]]&amp;" - "&amp;Table72818216[[#This Row],[CAID]]</f>
        <v xml:space="preserve"> -  - </v>
      </c>
      <c r="N51" s="90"/>
    </row>
    <row r="52" spans="8:14" x14ac:dyDescent="0.25">
      <c r="H52" s="91"/>
      <c r="I52" s="91"/>
      <c r="J52" s="97"/>
      <c r="K52" s="79"/>
      <c r="L52" s="79"/>
      <c r="M52" s="79" t="str">
        <f>Table72818216[[#This Row],[DBA]]&amp;" - "&amp;Table72818216[[#This Row],[BIN]]&amp;" - "&amp;Table72818216[[#This Row],[CAID]]</f>
        <v xml:space="preserve"> -  - </v>
      </c>
      <c r="N52" s="90"/>
    </row>
    <row r="53" spans="8:14" x14ac:dyDescent="0.25">
      <c r="H53" s="91"/>
      <c r="I53" s="91"/>
      <c r="J53" s="97"/>
      <c r="K53" s="79"/>
      <c r="L53" s="79"/>
      <c r="M53" s="79" t="str">
        <f>Table72818216[[#This Row],[DBA]]&amp;" - "&amp;Table72818216[[#This Row],[BIN]]&amp;" - "&amp;Table72818216[[#This Row],[CAID]]</f>
        <v xml:space="preserve"> -  - </v>
      </c>
      <c r="N53" s="90"/>
    </row>
    <row r="54" spans="8:14" x14ac:dyDescent="0.25">
      <c r="H54" s="91"/>
      <c r="I54" s="91"/>
      <c r="J54" s="97"/>
      <c r="K54" s="79"/>
      <c r="L54" s="79"/>
      <c r="M54" s="79" t="str">
        <f>Table72818216[[#This Row],[DBA]]&amp;" - "&amp;Table72818216[[#This Row],[BIN]]&amp;" - "&amp;Table72818216[[#This Row],[CAID]]</f>
        <v xml:space="preserve"> -  - </v>
      </c>
      <c r="N54" s="90"/>
    </row>
    <row r="55" spans="8:14" x14ac:dyDescent="0.25">
      <c r="H55" s="91"/>
      <c r="I55" s="91"/>
      <c r="J55" s="97"/>
      <c r="K55" s="79"/>
      <c r="L55" s="79"/>
      <c r="M55" s="79" t="str">
        <f>Table72818216[[#This Row],[DBA]]&amp;" - "&amp;Table72818216[[#This Row],[BIN]]&amp;" - "&amp;Table72818216[[#This Row],[CAID]]</f>
        <v xml:space="preserve"> -  - </v>
      </c>
      <c r="N55" s="90"/>
    </row>
    <row r="56" spans="8:14" x14ac:dyDescent="0.25">
      <c r="H56" s="91"/>
      <c r="I56" s="91"/>
      <c r="J56" s="97"/>
      <c r="K56" s="79"/>
      <c r="L56" s="79"/>
      <c r="M56" s="79" t="str">
        <f>Table72818216[[#This Row],[DBA]]&amp;" - "&amp;Table72818216[[#This Row],[BIN]]&amp;" - "&amp;Table72818216[[#This Row],[CAID]]</f>
        <v xml:space="preserve"> -  - </v>
      </c>
      <c r="N56" s="90"/>
    </row>
    <row r="57" spans="8:14" x14ac:dyDescent="0.25">
      <c r="H57" s="91"/>
      <c r="I57" s="91"/>
      <c r="J57" s="97"/>
      <c r="K57" s="79"/>
      <c r="L57" s="79"/>
      <c r="M57" s="79" t="str">
        <f>Table72818216[[#This Row],[DBA]]&amp;" - "&amp;Table72818216[[#This Row],[BIN]]&amp;" - "&amp;Table72818216[[#This Row],[CAID]]</f>
        <v xml:space="preserve"> -  - </v>
      </c>
      <c r="N57" s="90"/>
    </row>
    <row r="58" spans="8:14" x14ac:dyDescent="0.25">
      <c r="H58" s="91"/>
      <c r="I58" s="91"/>
      <c r="J58" s="97"/>
      <c r="K58" s="79"/>
      <c r="L58" s="79"/>
      <c r="M58" s="79" t="str">
        <f>Table72818216[[#This Row],[DBA]]&amp;" - "&amp;Table72818216[[#This Row],[BIN]]&amp;" - "&amp;Table72818216[[#This Row],[CAID]]</f>
        <v xml:space="preserve"> -  - </v>
      </c>
      <c r="N58" s="90"/>
    </row>
    <row r="59" spans="8:14" x14ac:dyDescent="0.25">
      <c r="H59" s="91"/>
      <c r="I59" s="91"/>
      <c r="J59" s="97"/>
      <c r="K59" s="79"/>
      <c r="L59" s="79"/>
      <c r="M59" s="79" t="str">
        <f>Table72818216[[#This Row],[DBA]]&amp;" - "&amp;Table72818216[[#This Row],[BIN]]&amp;" - "&amp;Table72818216[[#This Row],[CAID]]</f>
        <v xml:space="preserve"> -  - </v>
      </c>
      <c r="N59" s="90"/>
    </row>
    <row r="60" spans="8:14" x14ac:dyDescent="0.25">
      <c r="H60" s="91"/>
      <c r="I60" s="91"/>
      <c r="J60" s="97"/>
      <c r="K60" s="79"/>
      <c r="L60" s="79"/>
      <c r="M60" s="79" t="str">
        <f>Table72818216[[#This Row],[DBA]]&amp;" - "&amp;Table72818216[[#This Row],[BIN]]&amp;" - "&amp;Table72818216[[#This Row],[CAID]]</f>
        <v xml:space="preserve"> -  - </v>
      </c>
      <c r="N60" s="90"/>
    </row>
    <row r="61" spans="8:14" x14ac:dyDescent="0.25">
      <c r="H61" s="91"/>
      <c r="I61" s="91"/>
      <c r="J61" s="97"/>
      <c r="K61" s="79"/>
      <c r="L61" s="79"/>
      <c r="M61" s="79" t="str">
        <f>Table72818216[[#This Row],[DBA]]&amp;" - "&amp;Table72818216[[#This Row],[BIN]]&amp;" - "&amp;Table72818216[[#This Row],[CAID]]</f>
        <v xml:space="preserve"> -  - </v>
      </c>
      <c r="N61" s="90"/>
    </row>
    <row r="62" spans="8:14" x14ac:dyDescent="0.25">
      <c r="H62" s="91"/>
      <c r="I62" s="91"/>
      <c r="J62" s="97"/>
      <c r="K62" s="79"/>
      <c r="L62" s="79"/>
      <c r="M62" s="79" t="str">
        <f>Table72818216[[#This Row],[DBA]]&amp;" - "&amp;Table72818216[[#This Row],[BIN]]&amp;" - "&amp;Table72818216[[#This Row],[CAID]]</f>
        <v xml:space="preserve"> -  - </v>
      </c>
      <c r="N62" s="90"/>
    </row>
    <row r="63" spans="8:14" x14ac:dyDescent="0.25">
      <c r="H63" s="91"/>
      <c r="I63" s="91"/>
      <c r="J63" s="97"/>
      <c r="K63" s="79"/>
      <c r="L63" s="79"/>
      <c r="M63" s="79" t="str">
        <f>Table72818216[[#This Row],[DBA]]&amp;" - "&amp;Table72818216[[#This Row],[BIN]]&amp;" - "&amp;Table72818216[[#This Row],[CAID]]</f>
        <v xml:space="preserve"> -  - </v>
      </c>
      <c r="N63" s="90"/>
    </row>
    <row r="64" spans="8:14" x14ac:dyDescent="0.25">
      <c r="H64" s="91"/>
      <c r="I64" s="91"/>
      <c r="J64" s="97"/>
      <c r="K64" s="79"/>
      <c r="L64" s="79"/>
      <c r="M64" s="79" t="str">
        <f>Table72818216[[#This Row],[DBA]]&amp;" - "&amp;Table72818216[[#This Row],[BIN]]&amp;" - "&amp;Table72818216[[#This Row],[CAID]]</f>
        <v xml:space="preserve"> -  - </v>
      </c>
      <c r="N64" s="90"/>
    </row>
    <row r="65" spans="8:14" x14ac:dyDescent="0.25">
      <c r="H65" s="91"/>
      <c r="I65" s="91"/>
      <c r="J65" s="97"/>
      <c r="K65" s="79"/>
      <c r="L65" s="79"/>
      <c r="M65" s="79" t="str">
        <f>Table72818216[[#This Row],[DBA]]&amp;" - "&amp;Table72818216[[#This Row],[BIN]]&amp;" - "&amp;Table72818216[[#This Row],[CAID]]</f>
        <v xml:space="preserve"> -  - </v>
      </c>
      <c r="N65" s="90"/>
    </row>
    <row r="66" spans="8:14" x14ac:dyDescent="0.25">
      <c r="H66" s="91"/>
      <c r="I66" s="91"/>
      <c r="J66" s="97"/>
      <c r="K66" s="79"/>
      <c r="L66" s="79"/>
      <c r="M66" s="79" t="str">
        <f>Table72818216[[#This Row],[DBA]]&amp;" - "&amp;Table72818216[[#This Row],[BIN]]&amp;" - "&amp;Table72818216[[#This Row],[CAID]]</f>
        <v xml:space="preserve"> -  - </v>
      </c>
      <c r="N66" s="90"/>
    </row>
    <row r="67" spans="8:14" x14ac:dyDescent="0.25">
      <c r="H67" s="91"/>
      <c r="I67" s="91"/>
      <c r="J67" s="97"/>
      <c r="K67" s="79"/>
      <c r="L67" s="79"/>
      <c r="M67" s="79" t="str">
        <f>Table72818216[[#This Row],[DBA]]&amp;" - "&amp;Table72818216[[#This Row],[BIN]]&amp;" - "&amp;Table72818216[[#This Row],[CAID]]</f>
        <v xml:space="preserve"> -  - </v>
      </c>
      <c r="N67" s="90"/>
    </row>
    <row r="68" spans="8:14" x14ac:dyDescent="0.25">
      <c r="H68" s="91"/>
      <c r="I68" s="91"/>
      <c r="J68" s="97"/>
      <c r="K68" s="79"/>
      <c r="L68" s="79"/>
      <c r="M68" s="79" t="str">
        <f>Table72818216[[#This Row],[DBA]]&amp;" - "&amp;Table72818216[[#This Row],[BIN]]&amp;" - "&amp;Table72818216[[#This Row],[CAID]]</f>
        <v xml:space="preserve"> -  - </v>
      </c>
      <c r="N68" s="90"/>
    </row>
    <row r="69" spans="8:14" x14ac:dyDescent="0.25">
      <c r="H69" s="91"/>
      <c r="I69" s="91"/>
      <c r="J69" s="97"/>
      <c r="K69" s="79"/>
      <c r="L69" s="79"/>
      <c r="M69" s="79" t="str">
        <f>Table72818216[[#This Row],[DBA]]&amp;" - "&amp;Table72818216[[#This Row],[BIN]]&amp;" - "&amp;Table72818216[[#This Row],[CAID]]</f>
        <v xml:space="preserve"> -  - </v>
      </c>
      <c r="N69" s="90"/>
    </row>
    <row r="70" spans="8:14" x14ac:dyDescent="0.25">
      <c r="H70" s="91"/>
      <c r="I70" s="91"/>
      <c r="J70" s="97"/>
      <c r="K70" s="79"/>
      <c r="L70" s="79"/>
      <c r="M70" s="79" t="str">
        <f>Table72818216[[#This Row],[DBA]]&amp;" - "&amp;Table72818216[[#This Row],[BIN]]&amp;" - "&amp;Table72818216[[#This Row],[CAID]]</f>
        <v xml:space="preserve"> -  - </v>
      </c>
      <c r="N70" s="90"/>
    </row>
    <row r="71" spans="8:14" x14ac:dyDescent="0.25">
      <c r="H71" s="91"/>
      <c r="I71" s="91"/>
      <c r="J71" s="97"/>
      <c r="K71" s="79"/>
      <c r="L71" s="79"/>
      <c r="M71" s="79" t="str">
        <f>Table72818216[[#This Row],[DBA]]&amp;" - "&amp;Table72818216[[#This Row],[BIN]]&amp;" - "&amp;Table72818216[[#This Row],[CAID]]</f>
        <v xml:space="preserve"> -  - </v>
      </c>
      <c r="N71" s="90"/>
    </row>
    <row r="72" spans="8:14" x14ac:dyDescent="0.25">
      <c r="H72" s="91"/>
      <c r="I72" s="91"/>
      <c r="J72" s="97"/>
      <c r="K72" s="79"/>
      <c r="L72" s="79"/>
      <c r="M72" s="79" t="str">
        <f>Table72818216[[#This Row],[DBA]]&amp;" - "&amp;Table72818216[[#This Row],[BIN]]&amp;" - "&amp;Table72818216[[#This Row],[CAID]]</f>
        <v xml:space="preserve"> -  - </v>
      </c>
      <c r="N72" s="90"/>
    </row>
    <row r="73" spans="8:14" x14ac:dyDescent="0.25">
      <c r="H73" s="91"/>
      <c r="I73" s="91"/>
      <c r="J73" s="97"/>
      <c r="K73" s="79"/>
      <c r="L73" s="79"/>
      <c r="M73" s="79" t="str">
        <f>Table72818216[[#This Row],[DBA]]&amp;" - "&amp;Table72818216[[#This Row],[BIN]]&amp;" - "&amp;Table72818216[[#This Row],[CAID]]</f>
        <v xml:space="preserve"> -  - </v>
      </c>
      <c r="N73" s="90"/>
    </row>
    <row r="74" spans="8:14" x14ac:dyDescent="0.25">
      <c r="H74" s="91"/>
      <c r="I74" s="91"/>
      <c r="J74" s="97"/>
      <c r="K74" s="79"/>
      <c r="L74" s="79"/>
      <c r="M74" s="79" t="str">
        <f>Table72818216[[#This Row],[DBA]]&amp;" - "&amp;Table72818216[[#This Row],[BIN]]&amp;" - "&amp;Table72818216[[#This Row],[CAID]]</f>
        <v xml:space="preserve"> -  - </v>
      </c>
      <c r="N74" s="90"/>
    </row>
    <row r="75" spans="8:14" x14ac:dyDescent="0.25">
      <c r="H75" s="91"/>
      <c r="I75" s="91"/>
      <c r="J75" s="97"/>
      <c r="K75" s="79"/>
      <c r="L75" s="79"/>
      <c r="M75" s="79" t="str">
        <f>Table72818216[[#This Row],[DBA]]&amp;" - "&amp;Table72818216[[#This Row],[BIN]]&amp;" - "&amp;Table72818216[[#This Row],[CAID]]</f>
        <v xml:space="preserve"> -  - </v>
      </c>
      <c r="N75" s="90"/>
    </row>
    <row r="76" spans="8:14" x14ac:dyDescent="0.25">
      <c r="H76" s="91"/>
      <c r="I76" s="91"/>
      <c r="J76" s="97"/>
      <c r="K76" s="79"/>
      <c r="L76" s="79"/>
      <c r="M76" s="79" t="str">
        <f>Table72818216[[#This Row],[DBA]]&amp;" - "&amp;Table72818216[[#This Row],[BIN]]&amp;" - "&amp;Table72818216[[#This Row],[CAID]]</f>
        <v xml:space="preserve"> -  - </v>
      </c>
      <c r="N76" s="90"/>
    </row>
    <row r="77" spans="8:14" x14ac:dyDescent="0.25">
      <c r="H77" s="91"/>
      <c r="I77" s="91"/>
      <c r="J77" s="97"/>
      <c r="K77" s="79"/>
      <c r="L77" s="79"/>
      <c r="M77" s="79" t="str">
        <f>Table72818216[[#This Row],[DBA]]&amp;" - "&amp;Table72818216[[#This Row],[BIN]]&amp;" - "&amp;Table72818216[[#This Row],[CAID]]</f>
        <v xml:space="preserve"> -  - </v>
      </c>
      <c r="N77" s="90"/>
    </row>
    <row r="78" spans="8:14" x14ac:dyDescent="0.25">
      <c r="H78" s="91"/>
      <c r="I78" s="91"/>
      <c r="J78" s="97"/>
      <c r="K78" s="79"/>
      <c r="L78" s="79"/>
      <c r="M78" s="79" t="str">
        <f>Table72818216[[#This Row],[DBA]]&amp;" - "&amp;Table72818216[[#This Row],[BIN]]&amp;" - "&amp;Table72818216[[#This Row],[CAID]]</f>
        <v xml:space="preserve"> -  - </v>
      </c>
      <c r="N78" s="90"/>
    </row>
    <row r="79" spans="8:14" x14ac:dyDescent="0.25">
      <c r="H79" s="91"/>
      <c r="I79" s="91"/>
      <c r="J79" s="97"/>
      <c r="K79" s="79"/>
      <c r="L79" s="79"/>
      <c r="M79" s="79" t="str">
        <f>Table72818216[[#This Row],[DBA]]&amp;" - "&amp;Table72818216[[#This Row],[BIN]]&amp;" - "&amp;Table72818216[[#This Row],[CAID]]</f>
        <v xml:space="preserve"> -  - </v>
      </c>
      <c r="N79" s="90"/>
    </row>
    <row r="80" spans="8:14" x14ac:dyDescent="0.25">
      <c r="H80" s="91"/>
      <c r="I80" s="91"/>
      <c r="J80" s="97"/>
      <c r="K80" s="79"/>
      <c r="L80" s="79"/>
      <c r="M80" s="79" t="str">
        <f>Table72818216[[#This Row],[DBA]]&amp;" - "&amp;Table72818216[[#This Row],[BIN]]&amp;" - "&amp;Table72818216[[#This Row],[CAID]]</f>
        <v xml:space="preserve"> -  - </v>
      </c>
      <c r="N80" s="90"/>
    </row>
    <row r="81" spans="8:14" x14ac:dyDescent="0.25">
      <c r="H81" s="91"/>
      <c r="I81" s="91"/>
      <c r="J81" s="97"/>
      <c r="K81" s="79"/>
      <c r="L81" s="79"/>
      <c r="M81" s="79" t="str">
        <f>Table72818216[[#This Row],[DBA]]&amp;" - "&amp;Table72818216[[#This Row],[BIN]]&amp;" - "&amp;Table72818216[[#This Row],[CAID]]</f>
        <v xml:space="preserve"> -  - </v>
      </c>
      <c r="N81" s="90"/>
    </row>
    <row r="82" spans="8:14" x14ac:dyDescent="0.25">
      <c r="H82" s="91"/>
      <c r="I82" s="91"/>
      <c r="J82" s="97"/>
      <c r="K82" s="79"/>
      <c r="L82" s="79"/>
      <c r="M82" s="79" t="str">
        <f>Table72818216[[#This Row],[DBA]]&amp;" - "&amp;Table72818216[[#This Row],[BIN]]&amp;" - "&amp;Table72818216[[#This Row],[CAID]]</f>
        <v xml:space="preserve"> -  - </v>
      </c>
      <c r="N82" s="90"/>
    </row>
    <row r="83" spans="8:14" x14ac:dyDescent="0.25">
      <c r="H83" s="91"/>
      <c r="I83" s="91"/>
      <c r="J83" s="97"/>
      <c r="K83" s="79"/>
      <c r="L83" s="79"/>
      <c r="M83" s="79" t="str">
        <f>Table72818216[[#This Row],[DBA]]&amp;" - "&amp;Table72818216[[#This Row],[BIN]]&amp;" - "&amp;Table72818216[[#This Row],[CAID]]</f>
        <v xml:space="preserve"> -  - </v>
      </c>
      <c r="N83" s="90"/>
    </row>
    <row r="84" spans="8:14" x14ac:dyDescent="0.25">
      <c r="H84" s="91"/>
      <c r="I84" s="91"/>
      <c r="J84" s="97"/>
      <c r="K84" s="79"/>
      <c r="L84" s="79"/>
      <c r="M84" s="79" t="str">
        <f>Table72818216[[#This Row],[DBA]]&amp;" - "&amp;Table72818216[[#This Row],[BIN]]&amp;" - "&amp;Table72818216[[#This Row],[CAID]]</f>
        <v xml:space="preserve"> -  - </v>
      </c>
      <c r="N84" s="90"/>
    </row>
    <row r="85" spans="8:14" x14ac:dyDescent="0.25">
      <c r="H85" s="91"/>
      <c r="I85" s="91"/>
      <c r="J85" s="97"/>
      <c r="K85" s="79"/>
      <c r="L85" s="79"/>
      <c r="M85" s="79" t="str">
        <f>Table72818216[[#This Row],[DBA]]&amp;" - "&amp;Table72818216[[#This Row],[BIN]]&amp;" - "&amp;Table72818216[[#This Row],[CAID]]</f>
        <v xml:space="preserve"> -  - </v>
      </c>
      <c r="N85" s="90"/>
    </row>
    <row r="86" spans="8:14" x14ac:dyDescent="0.25">
      <c r="H86" s="91"/>
      <c r="I86" s="91"/>
      <c r="J86" s="97"/>
      <c r="K86" s="79"/>
      <c r="L86" s="79"/>
      <c r="M86" s="79" t="str">
        <f>Table72818216[[#This Row],[DBA]]&amp;" - "&amp;Table72818216[[#This Row],[BIN]]&amp;" - "&amp;Table72818216[[#This Row],[CAID]]</f>
        <v xml:space="preserve"> -  - </v>
      </c>
      <c r="N86" s="90"/>
    </row>
    <row r="87" spans="8:14" x14ac:dyDescent="0.25">
      <c r="H87" s="91"/>
      <c r="I87" s="91"/>
      <c r="J87" s="97"/>
      <c r="K87" s="79"/>
      <c r="L87" s="79"/>
      <c r="M87" s="79" t="str">
        <f>Table72818216[[#This Row],[DBA]]&amp;" - "&amp;Table72818216[[#This Row],[BIN]]&amp;" - "&amp;Table72818216[[#This Row],[CAID]]</f>
        <v xml:space="preserve"> -  - </v>
      </c>
      <c r="N87" s="90"/>
    </row>
    <row r="88" spans="8:14" x14ac:dyDescent="0.25">
      <c r="H88" s="91"/>
      <c r="I88" s="91"/>
      <c r="J88" s="97"/>
      <c r="K88" s="79"/>
      <c r="L88" s="79"/>
      <c r="M88" s="79" t="str">
        <f>Table72818216[[#This Row],[DBA]]&amp;" - "&amp;Table72818216[[#This Row],[BIN]]&amp;" - "&amp;Table72818216[[#This Row],[CAID]]</f>
        <v xml:space="preserve"> -  - </v>
      </c>
      <c r="N88" s="90"/>
    </row>
    <row r="89" spans="8:14" x14ac:dyDescent="0.25">
      <c r="H89" s="91"/>
      <c r="I89" s="91"/>
      <c r="J89" s="97"/>
      <c r="K89" s="79"/>
      <c r="L89" s="79"/>
      <c r="M89" s="79" t="str">
        <f>Table72818216[[#This Row],[DBA]]&amp;" - "&amp;Table72818216[[#This Row],[BIN]]&amp;" - "&amp;Table72818216[[#This Row],[CAID]]</f>
        <v xml:space="preserve"> -  - </v>
      </c>
      <c r="N89" s="90"/>
    </row>
    <row r="90" spans="8:14" x14ac:dyDescent="0.25">
      <c r="H90" s="91"/>
      <c r="I90" s="91"/>
      <c r="J90" s="97"/>
      <c r="K90" s="79"/>
      <c r="L90" s="79"/>
      <c r="M90" s="79" t="str">
        <f>Table72818216[[#This Row],[DBA]]&amp;" - "&amp;Table72818216[[#This Row],[BIN]]&amp;" - "&amp;Table72818216[[#This Row],[CAID]]</f>
        <v xml:space="preserve"> -  - </v>
      </c>
      <c r="N90" s="90"/>
    </row>
    <row r="91" spans="8:14" x14ac:dyDescent="0.25">
      <c r="H91" s="91"/>
      <c r="I91" s="91"/>
      <c r="J91" s="97"/>
      <c r="K91" s="79"/>
      <c r="L91" s="79"/>
      <c r="M91" s="79" t="str">
        <f>Table72818216[[#This Row],[DBA]]&amp;" - "&amp;Table72818216[[#This Row],[BIN]]&amp;" - "&amp;Table72818216[[#This Row],[CAID]]</f>
        <v xml:space="preserve"> -  - </v>
      </c>
      <c r="N91" s="90"/>
    </row>
    <row r="92" spans="8:14" x14ac:dyDescent="0.25">
      <c r="H92" s="91"/>
      <c r="I92" s="91"/>
      <c r="J92" s="97"/>
      <c r="K92" s="79"/>
      <c r="L92" s="79"/>
      <c r="M92" s="79" t="str">
        <f>Table72818216[[#This Row],[DBA]]&amp;" - "&amp;Table72818216[[#This Row],[BIN]]&amp;" - "&amp;Table72818216[[#This Row],[CAID]]</f>
        <v xml:space="preserve"> -  - </v>
      </c>
      <c r="N92" s="90"/>
    </row>
    <row r="93" spans="8:14" x14ac:dyDescent="0.25">
      <c r="H93" s="91"/>
      <c r="I93" s="91"/>
      <c r="J93" s="97"/>
      <c r="K93" s="79"/>
      <c r="L93" s="79"/>
      <c r="M93" s="79" t="str">
        <f>Table72818216[[#This Row],[DBA]]&amp;" - "&amp;Table72818216[[#This Row],[BIN]]&amp;" - "&amp;Table72818216[[#This Row],[CAID]]</f>
        <v xml:space="preserve"> -  - </v>
      </c>
      <c r="N93" s="90"/>
    </row>
    <row r="94" spans="8:14" x14ac:dyDescent="0.25">
      <c r="H94" s="91"/>
      <c r="I94" s="91"/>
      <c r="J94" s="97"/>
      <c r="K94" s="79"/>
      <c r="L94" s="79"/>
      <c r="M94" s="79" t="str">
        <f>Table72818216[[#This Row],[DBA]]&amp;" - "&amp;Table72818216[[#This Row],[BIN]]&amp;" - "&amp;Table72818216[[#This Row],[CAID]]</f>
        <v xml:space="preserve"> -  - </v>
      </c>
      <c r="N94" s="90"/>
    </row>
    <row r="95" spans="8:14" x14ac:dyDescent="0.25">
      <c r="H95" s="91"/>
      <c r="I95" s="91"/>
      <c r="J95" s="97"/>
      <c r="K95" s="79"/>
      <c r="L95" s="79"/>
      <c r="M95" s="79" t="str">
        <f>Table72818216[[#This Row],[DBA]]&amp;" - "&amp;Table72818216[[#This Row],[BIN]]&amp;" - "&amp;Table72818216[[#This Row],[CAID]]</f>
        <v xml:space="preserve"> -  - </v>
      </c>
      <c r="N95" s="90"/>
    </row>
    <row r="96" spans="8:14" x14ac:dyDescent="0.25">
      <c r="H96" s="91"/>
      <c r="I96" s="91"/>
      <c r="J96" s="97"/>
      <c r="K96" s="79"/>
      <c r="L96" s="79"/>
      <c r="M96" s="79" t="str">
        <f>Table72818216[[#This Row],[DBA]]&amp;" - "&amp;Table72818216[[#This Row],[BIN]]&amp;" - "&amp;Table72818216[[#This Row],[CAID]]</f>
        <v xml:space="preserve"> -  - </v>
      </c>
      <c r="N96" s="90"/>
    </row>
    <row r="97" spans="8:14" x14ac:dyDescent="0.25">
      <c r="H97" s="91"/>
      <c r="I97" s="91"/>
      <c r="J97" s="97"/>
      <c r="K97" s="79"/>
      <c r="L97" s="79"/>
      <c r="M97" s="79" t="str">
        <f>Table72818216[[#This Row],[DBA]]&amp;" - "&amp;Table72818216[[#This Row],[BIN]]&amp;" - "&amp;Table72818216[[#This Row],[CAID]]</f>
        <v xml:space="preserve"> -  - </v>
      </c>
      <c r="N97" s="90"/>
    </row>
    <row r="98" spans="8:14" x14ac:dyDescent="0.25">
      <c r="H98" s="91"/>
      <c r="I98" s="91"/>
      <c r="J98" s="97"/>
      <c r="K98" s="79"/>
      <c r="L98" s="79"/>
      <c r="M98" s="79" t="str">
        <f>Table72818216[[#This Row],[DBA]]&amp;" - "&amp;Table72818216[[#This Row],[BIN]]&amp;" - "&amp;Table72818216[[#This Row],[CAID]]</f>
        <v xml:space="preserve"> -  - </v>
      </c>
      <c r="N98" s="90"/>
    </row>
    <row r="99" spans="8:14" x14ac:dyDescent="0.25">
      <c r="H99" s="91"/>
      <c r="I99" s="91"/>
      <c r="J99" s="97"/>
      <c r="K99" s="79"/>
      <c r="L99" s="79"/>
      <c r="M99" s="79" t="str">
        <f>Table72818216[[#This Row],[DBA]]&amp;" - "&amp;Table72818216[[#This Row],[BIN]]&amp;" - "&amp;Table72818216[[#This Row],[CAID]]</f>
        <v xml:space="preserve"> -  - </v>
      </c>
      <c r="N99" s="90"/>
    </row>
    <row r="100" spans="8:14" x14ac:dyDescent="0.25">
      <c r="H100" s="91"/>
      <c r="I100" s="91"/>
      <c r="J100" s="97"/>
      <c r="K100" s="79"/>
      <c r="L100" s="79"/>
      <c r="M100" s="79" t="str">
        <f>Table72818216[[#This Row],[DBA]]&amp;" - "&amp;Table72818216[[#This Row],[BIN]]&amp;" - "&amp;Table72818216[[#This Row],[CAID]]</f>
        <v xml:space="preserve"> -  - </v>
      </c>
      <c r="N100" s="90"/>
    </row>
    <row r="101" spans="8:14" x14ac:dyDescent="0.25">
      <c r="H101" s="91"/>
      <c r="I101" s="91"/>
      <c r="J101" s="97"/>
      <c r="K101" s="79"/>
      <c r="L101" s="79"/>
      <c r="M101" s="79" t="str">
        <f>Table72818216[[#This Row],[DBA]]&amp;" - "&amp;Table72818216[[#This Row],[BIN]]&amp;" - "&amp;Table72818216[[#This Row],[CAID]]</f>
        <v xml:space="preserve"> -  - </v>
      </c>
      <c r="N101" s="90"/>
    </row>
    <row r="102" spans="8:14" x14ac:dyDescent="0.25">
      <c r="H102" s="91"/>
      <c r="I102" s="91"/>
      <c r="J102" s="97"/>
      <c r="K102" s="79"/>
      <c r="L102" s="79"/>
      <c r="M102" s="79" t="str">
        <f>Table72818216[[#This Row],[DBA]]&amp;" - "&amp;Table72818216[[#This Row],[BIN]]&amp;" - "&amp;Table72818216[[#This Row],[CAID]]</f>
        <v xml:space="preserve"> -  - </v>
      </c>
      <c r="N102" s="90"/>
    </row>
    <row r="103" spans="8:14" x14ac:dyDescent="0.25">
      <c r="H103" s="91"/>
      <c r="I103" s="91"/>
      <c r="J103" s="97"/>
      <c r="K103" s="79"/>
      <c r="L103" s="79"/>
      <c r="M103" s="79" t="str">
        <f>Table72818216[[#This Row],[DBA]]&amp;" - "&amp;Table72818216[[#This Row],[BIN]]&amp;" - "&amp;Table72818216[[#This Row],[CAID]]</f>
        <v xml:space="preserve"> -  - </v>
      </c>
      <c r="N103" s="90"/>
    </row>
    <row r="104" spans="8:14" x14ac:dyDescent="0.25">
      <c r="H104" s="91"/>
      <c r="I104" s="91"/>
      <c r="J104" s="97"/>
      <c r="K104" s="79"/>
      <c r="L104" s="79"/>
      <c r="M104" s="79" t="str">
        <f>Table72818216[[#This Row],[DBA]]&amp;" - "&amp;Table72818216[[#This Row],[BIN]]&amp;" - "&amp;Table72818216[[#This Row],[CAID]]</f>
        <v xml:space="preserve"> -  - </v>
      </c>
      <c r="N104" s="90"/>
    </row>
    <row r="105" spans="8:14" x14ac:dyDescent="0.25">
      <c r="H105" s="91"/>
      <c r="I105" s="91"/>
      <c r="J105" s="97"/>
      <c r="K105" s="79"/>
      <c r="L105" s="79"/>
      <c r="M105" s="79" t="str">
        <f>Table72818216[[#This Row],[DBA]]&amp;" - "&amp;Table72818216[[#This Row],[BIN]]&amp;" - "&amp;Table72818216[[#This Row],[CAID]]</f>
        <v xml:space="preserve"> -  - </v>
      </c>
      <c r="N105" s="90"/>
    </row>
    <row r="106" spans="8:14" x14ac:dyDescent="0.25">
      <c r="H106" s="91"/>
      <c r="I106" s="91"/>
      <c r="J106" s="97"/>
      <c r="K106" s="79"/>
      <c r="L106" s="79"/>
      <c r="M106" s="79" t="str">
        <f>Table72818216[[#This Row],[DBA]]&amp;" - "&amp;Table72818216[[#This Row],[BIN]]&amp;" - "&amp;Table72818216[[#This Row],[CAID]]</f>
        <v xml:space="preserve"> -  - </v>
      </c>
      <c r="N106" s="90"/>
    </row>
    <row r="107" spans="8:14" x14ac:dyDescent="0.25">
      <c r="H107" s="91"/>
      <c r="I107" s="91"/>
      <c r="J107" s="97"/>
      <c r="K107" s="79"/>
      <c r="L107" s="79"/>
      <c r="M107" s="79" t="str">
        <f>Table72818216[[#This Row],[DBA]]&amp;" - "&amp;Table72818216[[#This Row],[BIN]]&amp;" - "&amp;Table72818216[[#This Row],[CAID]]</f>
        <v xml:space="preserve"> -  - </v>
      </c>
      <c r="N107" s="90"/>
    </row>
    <row r="108" spans="8:14" x14ac:dyDescent="0.25">
      <c r="H108" s="91"/>
      <c r="I108" s="91"/>
      <c r="J108" s="97"/>
      <c r="K108" s="79"/>
      <c r="L108" s="79"/>
      <c r="M108" s="79" t="str">
        <f>Table72818216[[#This Row],[DBA]]&amp;" - "&amp;Table72818216[[#This Row],[BIN]]&amp;" - "&amp;Table72818216[[#This Row],[CAID]]</f>
        <v xml:space="preserve"> -  - </v>
      </c>
      <c r="N108" s="90"/>
    </row>
    <row r="109" spans="8:14" x14ac:dyDescent="0.25">
      <c r="H109" s="91"/>
      <c r="I109" s="91"/>
      <c r="J109" s="97"/>
      <c r="K109" s="79"/>
      <c r="L109" s="79"/>
      <c r="M109" s="79" t="str">
        <f>Table72818216[[#This Row],[DBA]]&amp;" - "&amp;Table72818216[[#This Row],[BIN]]&amp;" - "&amp;Table72818216[[#This Row],[CAID]]</f>
        <v xml:space="preserve"> -  - </v>
      </c>
      <c r="N109" s="90"/>
    </row>
    <row r="110" spans="8:14" x14ac:dyDescent="0.25">
      <c r="H110" s="91"/>
      <c r="I110" s="91"/>
      <c r="J110" s="97"/>
      <c r="K110" s="79"/>
      <c r="L110" s="79"/>
      <c r="M110" s="79" t="str">
        <f>Table72818216[[#This Row],[DBA]]&amp;" - "&amp;Table72818216[[#This Row],[BIN]]&amp;" - "&amp;Table72818216[[#This Row],[CAID]]</f>
        <v xml:space="preserve"> -  - </v>
      </c>
      <c r="N110" s="90"/>
    </row>
    <row r="111" spans="8:14" x14ac:dyDescent="0.25">
      <c r="H111" s="91"/>
      <c r="I111" s="91"/>
      <c r="J111" s="97"/>
      <c r="K111" s="79"/>
      <c r="L111" s="79"/>
      <c r="M111" s="79" t="str">
        <f>Table72818216[[#This Row],[DBA]]&amp;" - "&amp;Table72818216[[#This Row],[BIN]]&amp;" - "&amp;Table72818216[[#This Row],[CAID]]</f>
        <v xml:space="preserve"> -  - </v>
      </c>
      <c r="N111" s="90"/>
    </row>
    <row r="112" spans="8:14" x14ac:dyDescent="0.25">
      <c r="H112" s="91"/>
      <c r="I112" s="91"/>
      <c r="J112" s="97"/>
      <c r="K112" s="79"/>
      <c r="L112" s="79"/>
      <c r="M112" s="79" t="str">
        <f>Table72818216[[#This Row],[DBA]]&amp;" - "&amp;Table72818216[[#This Row],[BIN]]&amp;" - "&amp;Table72818216[[#This Row],[CAID]]</f>
        <v xml:space="preserve"> -  - </v>
      </c>
      <c r="N112" s="90"/>
    </row>
    <row r="113" spans="8:14" x14ac:dyDescent="0.25">
      <c r="H113" s="91"/>
      <c r="I113" s="91"/>
      <c r="J113" s="97"/>
      <c r="K113" s="79"/>
      <c r="L113" s="79"/>
      <c r="M113" s="79" t="str">
        <f>Table72818216[[#This Row],[DBA]]&amp;" - "&amp;Table72818216[[#This Row],[BIN]]&amp;" - "&amp;Table72818216[[#This Row],[CAID]]</f>
        <v xml:space="preserve"> -  - </v>
      </c>
      <c r="N113" s="90"/>
    </row>
    <row r="114" spans="8:14" x14ac:dyDescent="0.25">
      <c r="H114" s="91"/>
      <c r="I114" s="91"/>
      <c r="J114" s="97"/>
      <c r="K114" s="79"/>
      <c r="L114" s="79"/>
      <c r="M114" s="79" t="str">
        <f>Table72818216[[#This Row],[DBA]]&amp;" - "&amp;Table72818216[[#This Row],[BIN]]&amp;" - "&amp;Table72818216[[#This Row],[CAID]]</f>
        <v xml:space="preserve"> -  - </v>
      </c>
      <c r="N114" s="90"/>
    </row>
    <row r="115" spans="8:14" x14ac:dyDescent="0.25">
      <c r="H115" s="91"/>
      <c r="I115" s="91"/>
      <c r="J115" s="97"/>
      <c r="K115" s="79"/>
      <c r="L115" s="79"/>
      <c r="M115" s="79" t="str">
        <f>Table72818216[[#This Row],[DBA]]&amp;" - "&amp;Table72818216[[#This Row],[BIN]]&amp;" - "&amp;Table72818216[[#This Row],[CAID]]</f>
        <v xml:space="preserve"> -  - </v>
      </c>
      <c r="N115" s="90"/>
    </row>
    <row r="116" spans="8:14" x14ac:dyDescent="0.25">
      <c r="H116" s="91"/>
      <c r="I116" s="91"/>
      <c r="J116" s="97"/>
      <c r="K116" s="79"/>
      <c r="L116" s="79"/>
      <c r="M116" s="79" t="str">
        <f>Table72818216[[#This Row],[DBA]]&amp;" - "&amp;Table72818216[[#This Row],[BIN]]&amp;" - "&amp;Table72818216[[#This Row],[CAID]]</f>
        <v xml:space="preserve"> -  - </v>
      </c>
      <c r="N116" s="90"/>
    </row>
    <row r="117" spans="8:14" x14ac:dyDescent="0.25">
      <c r="H117" s="91"/>
      <c r="I117" s="91"/>
      <c r="J117" s="97"/>
      <c r="K117" s="79"/>
      <c r="L117" s="79"/>
      <c r="M117" s="79" t="str">
        <f>Table72818216[[#This Row],[DBA]]&amp;" - "&amp;Table72818216[[#This Row],[BIN]]&amp;" - "&amp;Table72818216[[#This Row],[CAID]]</f>
        <v xml:space="preserve"> -  - </v>
      </c>
      <c r="N117" s="90"/>
    </row>
    <row r="118" spans="8:14" x14ac:dyDescent="0.25">
      <c r="H118" s="91"/>
      <c r="I118" s="91"/>
      <c r="J118" s="97"/>
      <c r="K118" s="79"/>
      <c r="L118" s="79"/>
      <c r="M118" s="79" t="str">
        <f>Table72818216[[#This Row],[DBA]]&amp;" - "&amp;Table72818216[[#This Row],[BIN]]&amp;" - "&amp;Table72818216[[#This Row],[CAID]]</f>
        <v xml:space="preserve"> -  - </v>
      </c>
      <c r="N118" s="90"/>
    </row>
    <row r="119" spans="8:14" x14ac:dyDescent="0.25">
      <c r="H119" s="91"/>
      <c r="I119" s="91"/>
      <c r="J119" s="97"/>
      <c r="K119" s="79"/>
      <c r="L119" s="79"/>
      <c r="M119" s="79" t="str">
        <f>Table72818216[[#This Row],[DBA]]&amp;" - "&amp;Table72818216[[#This Row],[BIN]]&amp;" - "&amp;Table72818216[[#This Row],[CAID]]</f>
        <v xml:space="preserve"> -  - </v>
      </c>
      <c r="N119" s="90"/>
    </row>
    <row r="120" spans="8:14" x14ac:dyDescent="0.25">
      <c r="H120" s="91"/>
      <c r="I120" s="91"/>
      <c r="J120" s="97"/>
      <c r="K120" s="79"/>
      <c r="L120" s="79"/>
      <c r="M120" s="79" t="str">
        <f>Table72818216[[#This Row],[DBA]]&amp;" - "&amp;Table72818216[[#This Row],[BIN]]&amp;" - "&amp;Table72818216[[#This Row],[CAID]]</f>
        <v xml:space="preserve"> -  - </v>
      </c>
      <c r="N120" s="90"/>
    </row>
    <row r="121" spans="8:14" x14ac:dyDescent="0.25">
      <c r="H121" s="91"/>
      <c r="I121" s="91"/>
      <c r="J121" s="97"/>
      <c r="K121" s="79"/>
      <c r="L121" s="79"/>
      <c r="M121" s="79" t="str">
        <f>Table72818216[[#This Row],[DBA]]&amp;" - "&amp;Table72818216[[#This Row],[BIN]]&amp;" - "&amp;Table72818216[[#This Row],[CAID]]</f>
        <v xml:space="preserve"> -  - </v>
      </c>
      <c r="N121" s="90"/>
    </row>
    <row r="122" spans="8:14" x14ac:dyDescent="0.25">
      <c r="H122" s="91"/>
      <c r="I122" s="91"/>
      <c r="J122" s="97"/>
      <c r="K122" s="79"/>
      <c r="L122" s="79"/>
      <c r="M122" s="79" t="str">
        <f>Table72818216[[#This Row],[DBA]]&amp;" - "&amp;Table72818216[[#This Row],[BIN]]&amp;" - "&amp;Table72818216[[#This Row],[CAID]]</f>
        <v xml:space="preserve"> -  - </v>
      </c>
      <c r="N122" s="90"/>
    </row>
    <row r="123" spans="8:14" x14ac:dyDescent="0.25">
      <c r="H123" s="91"/>
      <c r="I123" s="91"/>
      <c r="J123" s="97"/>
      <c r="K123" s="79"/>
      <c r="L123" s="79"/>
      <c r="M123" s="79" t="str">
        <f>Table72818216[[#This Row],[DBA]]&amp;" - "&amp;Table72818216[[#This Row],[BIN]]&amp;" - "&amp;Table72818216[[#This Row],[CAID]]</f>
        <v xml:space="preserve"> -  - </v>
      </c>
      <c r="N123" s="90"/>
    </row>
    <row r="124" spans="8:14" x14ac:dyDescent="0.25">
      <c r="H124" s="91"/>
      <c r="I124" s="91"/>
      <c r="J124" s="97"/>
      <c r="K124" s="79"/>
      <c r="L124" s="79"/>
      <c r="M124" s="79" t="str">
        <f>Table72818216[[#This Row],[DBA]]&amp;" - "&amp;Table72818216[[#This Row],[BIN]]&amp;" - "&amp;Table72818216[[#This Row],[CAID]]</f>
        <v xml:space="preserve"> -  - </v>
      </c>
      <c r="N124" s="90"/>
    </row>
    <row r="125" spans="8:14" x14ac:dyDescent="0.25">
      <c r="H125" s="91"/>
      <c r="I125" s="91"/>
      <c r="J125" s="97"/>
      <c r="K125" s="79"/>
      <c r="L125" s="79"/>
      <c r="M125" s="79" t="str">
        <f>Table72818216[[#This Row],[DBA]]&amp;" - "&amp;Table72818216[[#This Row],[BIN]]&amp;" - "&amp;Table72818216[[#This Row],[CAID]]</f>
        <v xml:space="preserve"> -  - </v>
      </c>
      <c r="N125" s="90"/>
    </row>
    <row r="126" spans="8:14" x14ac:dyDescent="0.25">
      <c r="H126" s="91"/>
      <c r="I126" s="91"/>
      <c r="J126" s="97"/>
      <c r="K126" s="79"/>
      <c r="L126" s="79"/>
      <c r="M126" s="79" t="str">
        <f>Table72818216[[#This Row],[DBA]]&amp;" - "&amp;Table72818216[[#This Row],[BIN]]&amp;" - "&amp;Table72818216[[#This Row],[CAID]]</f>
        <v xml:space="preserve"> -  - </v>
      </c>
      <c r="N126" s="90"/>
    </row>
    <row r="127" spans="8:14" x14ac:dyDescent="0.25">
      <c r="H127" s="91"/>
      <c r="I127" s="91"/>
      <c r="J127" s="97"/>
      <c r="K127" s="79"/>
      <c r="L127" s="79"/>
      <c r="M127" s="79" t="str">
        <f>Table72818216[[#This Row],[DBA]]&amp;" - "&amp;Table72818216[[#This Row],[BIN]]&amp;" - "&amp;Table72818216[[#This Row],[CAID]]</f>
        <v xml:space="preserve"> -  - </v>
      </c>
      <c r="N127" s="90"/>
    </row>
    <row r="128" spans="8:14" x14ac:dyDescent="0.25">
      <c r="H128" s="91"/>
      <c r="I128" s="91"/>
      <c r="J128" s="97"/>
      <c r="K128" s="79"/>
      <c r="L128" s="79"/>
      <c r="M128" s="79" t="str">
        <f>Table72818216[[#This Row],[DBA]]&amp;" - "&amp;Table72818216[[#This Row],[BIN]]&amp;" - "&amp;Table72818216[[#This Row],[CAID]]</f>
        <v xml:space="preserve"> -  - </v>
      </c>
      <c r="N128" s="90"/>
    </row>
    <row r="129" spans="8:14" x14ac:dyDescent="0.25">
      <c r="H129" s="91"/>
      <c r="I129" s="91"/>
      <c r="J129" s="97"/>
      <c r="K129" s="79"/>
      <c r="L129" s="79"/>
      <c r="M129" s="79" t="str">
        <f>Table72818216[[#This Row],[DBA]]&amp;" - "&amp;Table72818216[[#This Row],[BIN]]&amp;" - "&amp;Table72818216[[#This Row],[CAID]]</f>
        <v xml:space="preserve"> -  - </v>
      </c>
      <c r="N129" s="90"/>
    </row>
    <row r="130" spans="8:14" x14ac:dyDescent="0.25">
      <c r="H130" s="91"/>
      <c r="I130" s="91"/>
      <c r="J130" s="97"/>
      <c r="K130" s="79"/>
      <c r="L130" s="79"/>
      <c r="M130" s="79" t="str">
        <f>Table72818216[[#This Row],[DBA]]&amp;" - "&amp;Table72818216[[#This Row],[BIN]]&amp;" - "&amp;Table72818216[[#This Row],[CAID]]</f>
        <v xml:space="preserve"> -  - </v>
      </c>
      <c r="N130" s="90"/>
    </row>
    <row r="131" spans="8:14" x14ac:dyDescent="0.25">
      <c r="H131" s="91"/>
      <c r="I131" s="91"/>
      <c r="J131" s="97"/>
      <c r="K131" s="79"/>
      <c r="L131" s="79"/>
      <c r="M131" s="79" t="str">
        <f>Table72818216[[#This Row],[DBA]]&amp;" - "&amp;Table72818216[[#This Row],[BIN]]&amp;" - "&amp;Table72818216[[#This Row],[CAID]]</f>
        <v xml:space="preserve"> -  - </v>
      </c>
      <c r="N131" s="90"/>
    </row>
    <row r="132" spans="8:14" x14ac:dyDescent="0.25">
      <c r="H132" s="91"/>
      <c r="I132" s="91"/>
      <c r="J132" s="97"/>
      <c r="K132" s="79"/>
      <c r="L132" s="79"/>
      <c r="M132" s="79" t="str">
        <f>Table72818216[[#This Row],[DBA]]&amp;" - "&amp;Table72818216[[#This Row],[BIN]]&amp;" - "&amp;Table72818216[[#This Row],[CAID]]</f>
        <v xml:space="preserve"> -  - </v>
      </c>
      <c r="N132" s="90"/>
    </row>
    <row r="133" spans="8:14" x14ac:dyDescent="0.25">
      <c r="H133" s="91"/>
      <c r="I133" s="91"/>
      <c r="J133" s="97"/>
      <c r="K133" s="79"/>
      <c r="L133" s="79"/>
      <c r="M133" s="79" t="str">
        <f>Table72818216[[#This Row],[DBA]]&amp;" - "&amp;Table72818216[[#This Row],[BIN]]&amp;" - "&amp;Table72818216[[#This Row],[CAID]]</f>
        <v xml:space="preserve"> -  - </v>
      </c>
      <c r="N133" s="90"/>
    </row>
    <row r="134" spans="8:14" x14ac:dyDescent="0.25">
      <c r="H134" s="91"/>
      <c r="I134" s="91"/>
      <c r="J134" s="97"/>
      <c r="K134" s="79"/>
      <c r="L134" s="79"/>
      <c r="M134" s="79" t="str">
        <f>Table72818216[[#This Row],[DBA]]&amp;" - "&amp;Table72818216[[#This Row],[BIN]]&amp;" - "&amp;Table72818216[[#This Row],[CAID]]</f>
        <v xml:space="preserve"> -  - </v>
      </c>
      <c r="N134" s="90"/>
    </row>
    <row r="135" spans="8:14" x14ac:dyDescent="0.25">
      <c r="H135" s="91"/>
      <c r="I135" s="91"/>
      <c r="J135" s="97"/>
      <c r="K135" s="79"/>
      <c r="L135" s="79"/>
      <c r="M135" s="79" t="str">
        <f>Table72818216[[#This Row],[DBA]]&amp;" - "&amp;Table72818216[[#This Row],[BIN]]&amp;" - "&amp;Table72818216[[#This Row],[CAID]]</f>
        <v xml:space="preserve"> -  - </v>
      </c>
      <c r="N135" s="90"/>
    </row>
    <row r="136" spans="8:14" x14ac:dyDescent="0.25">
      <c r="H136" s="91"/>
      <c r="I136" s="91"/>
      <c r="J136" s="97"/>
      <c r="K136" s="79"/>
      <c r="L136" s="79"/>
      <c r="M136" s="79" t="str">
        <f>Table72818216[[#This Row],[DBA]]&amp;" - "&amp;Table72818216[[#This Row],[BIN]]&amp;" - "&amp;Table72818216[[#This Row],[CAID]]</f>
        <v xml:space="preserve"> -  - </v>
      </c>
      <c r="N136" s="90"/>
    </row>
    <row r="137" spans="8:14" x14ac:dyDescent="0.25">
      <c r="H137" s="91"/>
      <c r="I137" s="91"/>
      <c r="J137" s="97"/>
      <c r="K137" s="79"/>
      <c r="L137" s="79"/>
      <c r="M137" s="79" t="str">
        <f>Table72818216[[#This Row],[DBA]]&amp;" - "&amp;Table72818216[[#This Row],[BIN]]&amp;" - "&amp;Table72818216[[#This Row],[CAID]]</f>
        <v xml:space="preserve"> -  - </v>
      </c>
      <c r="N137" s="90"/>
    </row>
    <row r="138" spans="8:14" x14ac:dyDescent="0.25">
      <c r="H138" s="91"/>
      <c r="I138" s="91"/>
      <c r="J138" s="97"/>
      <c r="K138" s="79"/>
      <c r="L138" s="79"/>
      <c r="M138" s="79" t="str">
        <f>Table72818216[[#This Row],[DBA]]&amp;" - "&amp;Table72818216[[#This Row],[BIN]]&amp;" - "&amp;Table72818216[[#This Row],[CAID]]</f>
        <v xml:space="preserve"> -  - </v>
      </c>
      <c r="N138" s="90"/>
    </row>
    <row r="139" spans="8:14" x14ac:dyDescent="0.25">
      <c r="H139" s="91"/>
      <c r="I139" s="91"/>
      <c r="J139" s="97"/>
      <c r="K139" s="79"/>
      <c r="L139" s="79"/>
      <c r="M139" s="79" t="str">
        <f>Table72818216[[#This Row],[DBA]]&amp;" - "&amp;Table72818216[[#This Row],[BIN]]&amp;" - "&amp;Table72818216[[#This Row],[CAID]]</f>
        <v xml:space="preserve"> -  - </v>
      </c>
      <c r="N139" s="90"/>
    </row>
    <row r="140" spans="8:14" x14ac:dyDescent="0.25">
      <c r="H140" s="91"/>
      <c r="I140" s="91"/>
      <c r="J140" s="97"/>
      <c r="K140" s="79"/>
      <c r="L140" s="79"/>
      <c r="M140" s="79" t="str">
        <f>Table72818216[[#This Row],[DBA]]&amp;" - "&amp;Table72818216[[#This Row],[BIN]]&amp;" - "&amp;Table72818216[[#This Row],[CAID]]</f>
        <v xml:space="preserve"> -  - </v>
      </c>
      <c r="N140" s="90"/>
    </row>
    <row r="141" spans="8:14" x14ac:dyDescent="0.25">
      <c r="H141" s="91"/>
      <c r="I141" s="91"/>
      <c r="J141" s="97"/>
      <c r="K141" s="79"/>
      <c r="L141" s="79"/>
      <c r="M141" s="79" t="str">
        <f>Table72818216[[#This Row],[DBA]]&amp;" - "&amp;Table72818216[[#This Row],[BIN]]&amp;" - "&amp;Table72818216[[#This Row],[CAID]]</f>
        <v xml:space="preserve"> -  - </v>
      </c>
      <c r="N141" s="90"/>
    </row>
    <row r="142" spans="8:14" x14ac:dyDescent="0.25">
      <c r="H142" s="91"/>
      <c r="I142" s="91"/>
      <c r="J142" s="97"/>
      <c r="K142" s="79"/>
      <c r="L142" s="79"/>
      <c r="M142" s="79" t="str">
        <f>Table72818216[[#This Row],[DBA]]&amp;" - "&amp;Table72818216[[#This Row],[BIN]]&amp;" - "&amp;Table72818216[[#This Row],[CAID]]</f>
        <v xml:space="preserve"> -  - </v>
      </c>
      <c r="N142" s="90"/>
    </row>
    <row r="143" spans="8:14" x14ac:dyDescent="0.25">
      <c r="H143" s="91"/>
      <c r="I143" s="91"/>
      <c r="J143" s="97"/>
      <c r="K143" s="79"/>
      <c r="L143" s="79"/>
      <c r="M143" s="79" t="str">
        <f>Table72818216[[#This Row],[DBA]]&amp;" - "&amp;Table72818216[[#This Row],[BIN]]&amp;" - "&amp;Table72818216[[#This Row],[CAID]]</f>
        <v xml:space="preserve"> -  - </v>
      </c>
      <c r="N143" s="90"/>
    </row>
    <row r="144" spans="8:14" x14ac:dyDescent="0.25">
      <c r="H144" s="91"/>
      <c r="I144" s="91"/>
      <c r="J144" s="97"/>
      <c r="K144" s="79"/>
      <c r="L144" s="79"/>
      <c r="M144" s="79" t="str">
        <f>Table72818216[[#This Row],[DBA]]&amp;" - "&amp;Table72818216[[#This Row],[BIN]]&amp;" - "&amp;Table72818216[[#This Row],[CAID]]</f>
        <v xml:space="preserve"> -  - </v>
      </c>
      <c r="N144" s="90"/>
    </row>
    <row r="145" spans="8:14" x14ac:dyDescent="0.25">
      <c r="H145" s="91"/>
      <c r="I145" s="91"/>
      <c r="J145" s="97"/>
      <c r="K145" s="79"/>
      <c r="L145" s="79"/>
      <c r="M145" s="79" t="str">
        <f>Table72818216[[#This Row],[DBA]]&amp;" - "&amp;Table72818216[[#This Row],[BIN]]&amp;" - "&amp;Table72818216[[#This Row],[CAID]]</f>
        <v xml:space="preserve"> -  - </v>
      </c>
      <c r="N145" s="90"/>
    </row>
    <row r="146" spans="8:14" x14ac:dyDescent="0.25">
      <c r="H146" s="91"/>
      <c r="I146" s="91"/>
      <c r="J146" s="97"/>
      <c r="K146" s="79"/>
      <c r="L146" s="79"/>
      <c r="M146" s="79" t="str">
        <f>Table72818216[[#This Row],[DBA]]&amp;" - "&amp;Table72818216[[#This Row],[BIN]]&amp;" - "&amp;Table72818216[[#This Row],[CAID]]</f>
        <v xml:space="preserve"> -  - </v>
      </c>
      <c r="N146" s="90"/>
    </row>
    <row r="147" spans="8:14" x14ac:dyDescent="0.25">
      <c r="H147" s="91"/>
      <c r="I147" s="91"/>
      <c r="J147" s="97"/>
      <c r="K147" s="79"/>
      <c r="L147" s="79"/>
      <c r="M147" s="79" t="str">
        <f>Table72818216[[#This Row],[DBA]]&amp;" - "&amp;Table72818216[[#This Row],[BIN]]&amp;" - "&amp;Table72818216[[#This Row],[CAID]]</f>
        <v xml:space="preserve"> -  - </v>
      </c>
      <c r="N147" s="90"/>
    </row>
    <row r="148" spans="8:14" x14ac:dyDescent="0.25">
      <c r="H148" s="91"/>
      <c r="I148" s="91"/>
      <c r="J148" s="97"/>
      <c r="K148" s="79"/>
      <c r="L148" s="79"/>
      <c r="M148" s="79" t="str">
        <f>Table72818216[[#This Row],[DBA]]&amp;" - "&amp;Table72818216[[#This Row],[BIN]]&amp;" - "&amp;Table72818216[[#This Row],[CAID]]</f>
        <v xml:space="preserve"> -  - </v>
      </c>
      <c r="N148" s="90"/>
    </row>
    <row r="149" spans="8:14" x14ac:dyDescent="0.25">
      <c r="H149" s="91"/>
      <c r="I149" s="91"/>
      <c r="J149" s="97"/>
      <c r="K149" s="79"/>
      <c r="L149" s="79"/>
      <c r="M149" s="79" t="str">
        <f>Table72818216[[#This Row],[DBA]]&amp;" - "&amp;Table72818216[[#This Row],[BIN]]&amp;" - "&amp;Table72818216[[#This Row],[CAID]]</f>
        <v xml:space="preserve"> -  - </v>
      </c>
      <c r="N149" s="90"/>
    </row>
    <row r="150" spans="8:14" x14ac:dyDescent="0.25">
      <c r="H150" s="91"/>
      <c r="I150" s="91"/>
      <c r="J150" s="97"/>
      <c r="K150" s="79"/>
      <c r="L150" s="79"/>
      <c r="M150" s="79" t="str">
        <f>Table72818216[[#This Row],[DBA]]&amp;" - "&amp;Table72818216[[#This Row],[BIN]]&amp;" - "&amp;Table72818216[[#This Row],[CAID]]</f>
        <v xml:space="preserve"> -  - </v>
      </c>
      <c r="N150" s="90"/>
    </row>
    <row r="151" spans="8:14" x14ac:dyDescent="0.25">
      <c r="H151" s="91"/>
      <c r="I151" s="91"/>
      <c r="J151" s="97"/>
      <c r="K151" s="79"/>
      <c r="L151" s="79"/>
      <c r="M151" s="79" t="str">
        <f>Table72818216[[#This Row],[DBA]]&amp;" - "&amp;Table72818216[[#This Row],[BIN]]&amp;" - "&amp;Table72818216[[#This Row],[CAID]]</f>
        <v xml:space="preserve"> -  - </v>
      </c>
      <c r="N151" s="90"/>
    </row>
    <row r="152" spans="8:14" x14ac:dyDescent="0.25">
      <c r="H152" s="91"/>
      <c r="I152" s="91"/>
      <c r="J152" s="97"/>
      <c r="K152" s="79"/>
      <c r="L152" s="79"/>
      <c r="M152" s="79" t="str">
        <f>Table72818216[[#This Row],[DBA]]&amp;" - "&amp;Table72818216[[#This Row],[BIN]]&amp;" - "&amp;Table72818216[[#This Row],[CAID]]</f>
        <v xml:space="preserve"> -  - </v>
      </c>
      <c r="N152" s="90"/>
    </row>
    <row r="153" spans="8:14" x14ac:dyDescent="0.25">
      <c r="H153" s="91"/>
      <c r="I153" s="91"/>
      <c r="J153" s="97"/>
      <c r="K153" s="79"/>
      <c r="L153" s="79"/>
      <c r="M153" s="79" t="str">
        <f>Table72818216[[#This Row],[DBA]]&amp;" - "&amp;Table72818216[[#This Row],[BIN]]&amp;" - "&amp;Table72818216[[#This Row],[CAID]]</f>
        <v xml:space="preserve"> -  - </v>
      </c>
      <c r="N153" s="90"/>
    </row>
    <row r="154" spans="8:14" x14ac:dyDescent="0.25">
      <c r="H154" s="91"/>
      <c r="I154" s="91"/>
      <c r="J154" s="97"/>
      <c r="K154" s="79"/>
      <c r="L154" s="79"/>
      <c r="M154" s="79" t="str">
        <f>Table72818216[[#This Row],[DBA]]&amp;" - "&amp;Table72818216[[#This Row],[BIN]]&amp;" - "&amp;Table72818216[[#This Row],[CAID]]</f>
        <v xml:space="preserve"> -  - </v>
      </c>
      <c r="N154" s="90"/>
    </row>
    <row r="155" spans="8:14" x14ac:dyDescent="0.25">
      <c r="H155" s="91"/>
      <c r="I155" s="91"/>
      <c r="J155" s="97"/>
      <c r="K155" s="79"/>
      <c r="L155" s="79"/>
      <c r="M155" s="79" t="str">
        <f>Table72818216[[#This Row],[DBA]]&amp;" - "&amp;Table72818216[[#This Row],[BIN]]&amp;" - "&amp;Table72818216[[#This Row],[CAID]]</f>
        <v xml:space="preserve"> -  - </v>
      </c>
      <c r="N155" s="90"/>
    </row>
    <row r="156" spans="8:14" x14ac:dyDescent="0.25">
      <c r="H156" s="91"/>
      <c r="I156" s="91"/>
      <c r="J156" s="97"/>
      <c r="K156" s="79"/>
      <c r="L156" s="79"/>
      <c r="M156" s="79" t="str">
        <f>Table72818216[[#This Row],[DBA]]&amp;" - "&amp;Table72818216[[#This Row],[BIN]]&amp;" - "&amp;Table72818216[[#This Row],[CAID]]</f>
        <v xml:space="preserve"> -  - </v>
      </c>
      <c r="N156" s="90"/>
    </row>
    <row r="157" spans="8:14" x14ac:dyDescent="0.25">
      <c r="H157" s="91"/>
      <c r="I157" s="91"/>
      <c r="J157" s="97"/>
      <c r="K157" s="79"/>
      <c r="L157" s="79"/>
      <c r="M157" s="79" t="str">
        <f>Table72818216[[#This Row],[DBA]]&amp;" - "&amp;Table72818216[[#This Row],[BIN]]&amp;" - "&amp;Table72818216[[#This Row],[CAID]]</f>
        <v xml:space="preserve"> -  - </v>
      </c>
      <c r="N157" s="90"/>
    </row>
    <row r="158" spans="8:14" x14ac:dyDescent="0.25">
      <c r="H158" s="91"/>
      <c r="I158" s="91"/>
      <c r="J158" s="97"/>
      <c r="K158" s="79"/>
      <c r="L158" s="79"/>
      <c r="M158" s="79" t="str">
        <f>Table72818216[[#This Row],[DBA]]&amp;" - "&amp;Table72818216[[#This Row],[BIN]]&amp;" - "&amp;Table72818216[[#This Row],[CAID]]</f>
        <v xml:space="preserve"> -  - </v>
      </c>
      <c r="N158" s="90"/>
    </row>
    <row r="159" spans="8:14" x14ac:dyDescent="0.25">
      <c r="H159" s="91"/>
      <c r="I159" s="91"/>
      <c r="J159" s="97"/>
      <c r="K159" s="79"/>
      <c r="L159" s="79"/>
      <c r="M159" s="79" t="str">
        <f>Table72818216[[#This Row],[DBA]]&amp;" - "&amp;Table72818216[[#This Row],[BIN]]&amp;" - "&amp;Table72818216[[#This Row],[CAID]]</f>
        <v xml:space="preserve"> -  - </v>
      </c>
      <c r="N159" s="90"/>
    </row>
    <row r="160" spans="8:14" x14ac:dyDescent="0.25">
      <c r="H160" s="91"/>
      <c r="I160" s="91"/>
      <c r="J160" s="97"/>
      <c r="K160" s="79"/>
      <c r="L160" s="79"/>
      <c r="M160" s="79" t="str">
        <f>Table72818216[[#This Row],[DBA]]&amp;" - "&amp;Table72818216[[#This Row],[BIN]]&amp;" - "&amp;Table72818216[[#This Row],[CAID]]</f>
        <v xml:space="preserve"> -  - </v>
      </c>
      <c r="N160" s="90"/>
    </row>
    <row r="161" spans="8:14" x14ac:dyDescent="0.25">
      <c r="H161" s="91"/>
      <c r="I161" s="91"/>
      <c r="J161" s="97"/>
      <c r="K161" s="79"/>
      <c r="L161" s="79"/>
      <c r="M161" s="79" t="str">
        <f>Table72818216[[#This Row],[DBA]]&amp;" - "&amp;Table72818216[[#This Row],[BIN]]&amp;" - "&amp;Table72818216[[#This Row],[CAID]]</f>
        <v xml:space="preserve"> -  - </v>
      </c>
      <c r="N161" s="90"/>
    </row>
    <row r="162" spans="8:14" x14ac:dyDescent="0.25">
      <c r="H162" s="91"/>
      <c r="I162" s="91"/>
      <c r="J162" s="97"/>
      <c r="K162" s="79"/>
      <c r="L162" s="79"/>
      <c r="M162" s="79" t="str">
        <f>Table72818216[[#This Row],[DBA]]&amp;" - "&amp;Table72818216[[#This Row],[BIN]]&amp;" - "&amp;Table72818216[[#This Row],[CAID]]</f>
        <v xml:space="preserve"> -  - </v>
      </c>
      <c r="N162" s="90"/>
    </row>
    <row r="163" spans="8:14" x14ac:dyDescent="0.25">
      <c r="H163" s="91"/>
      <c r="I163" s="91"/>
      <c r="J163" s="97"/>
      <c r="K163" s="79"/>
      <c r="L163" s="79"/>
      <c r="M163" s="79" t="str">
        <f>Table72818216[[#This Row],[DBA]]&amp;" - "&amp;Table72818216[[#This Row],[BIN]]&amp;" - "&amp;Table72818216[[#This Row],[CAID]]</f>
        <v xml:space="preserve"> -  - </v>
      </c>
      <c r="N163" s="90"/>
    </row>
    <row r="164" spans="8:14" x14ac:dyDescent="0.25">
      <c r="H164" s="91"/>
      <c r="I164" s="91"/>
      <c r="J164" s="97"/>
      <c r="K164" s="79"/>
      <c r="L164" s="79"/>
      <c r="M164" s="79" t="str">
        <f>Table72818216[[#This Row],[DBA]]&amp;" - "&amp;Table72818216[[#This Row],[BIN]]&amp;" - "&amp;Table72818216[[#This Row],[CAID]]</f>
        <v xml:space="preserve"> -  - </v>
      </c>
      <c r="N164" s="90"/>
    </row>
    <row r="165" spans="8:14" x14ac:dyDescent="0.25">
      <c r="H165" s="91"/>
      <c r="I165" s="91"/>
      <c r="J165" s="97"/>
      <c r="K165" s="79"/>
      <c r="L165" s="79"/>
      <c r="M165" s="79" t="str">
        <f>Table72818216[[#This Row],[DBA]]&amp;" - "&amp;Table72818216[[#This Row],[BIN]]&amp;" - "&amp;Table72818216[[#This Row],[CAID]]</f>
        <v xml:space="preserve"> -  - </v>
      </c>
      <c r="N165" s="90"/>
    </row>
    <row r="166" spans="8:14" x14ac:dyDescent="0.25">
      <c r="H166" s="91"/>
      <c r="I166" s="91"/>
      <c r="J166" s="97"/>
      <c r="K166" s="79"/>
      <c r="L166" s="79"/>
      <c r="M166" s="79" t="str">
        <f>Table72818216[[#This Row],[DBA]]&amp;" - "&amp;Table72818216[[#This Row],[BIN]]&amp;" - "&amp;Table72818216[[#This Row],[CAID]]</f>
        <v xml:space="preserve"> -  - </v>
      </c>
      <c r="N166" s="90"/>
    </row>
    <row r="167" spans="8:14" x14ac:dyDescent="0.25">
      <c r="H167" s="91"/>
      <c r="I167" s="91"/>
      <c r="J167" s="97"/>
      <c r="K167" s="79"/>
      <c r="L167" s="79"/>
      <c r="M167" s="79" t="str">
        <f>Table72818216[[#This Row],[DBA]]&amp;" - "&amp;Table72818216[[#This Row],[BIN]]&amp;" - "&amp;Table72818216[[#This Row],[CAID]]</f>
        <v xml:space="preserve"> -  - </v>
      </c>
      <c r="N167" s="90"/>
    </row>
    <row r="168" spans="8:14" x14ac:dyDescent="0.25">
      <c r="H168" s="91"/>
      <c r="I168" s="91"/>
      <c r="J168" s="97"/>
      <c r="K168" s="79"/>
      <c r="L168" s="79"/>
      <c r="M168" s="79" t="str">
        <f>Table72818216[[#This Row],[DBA]]&amp;" - "&amp;Table72818216[[#This Row],[BIN]]&amp;" - "&amp;Table72818216[[#This Row],[CAID]]</f>
        <v xml:space="preserve"> -  - </v>
      </c>
      <c r="N168" s="90"/>
    </row>
    <row r="169" spans="8:14" x14ac:dyDescent="0.25">
      <c r="H169" s="91"/>
      <c r="I169" s="91"/>
      <c r="J169" s="97"/>
      <c r="K169" s="79"/>
      <c r="L169" s="79"/>
      <c r="M169" s="79" t="str">
        <f>Table72818216[[#This Row],[DBA]]&amp;" - "&amp;Table72818216[[#This Row],[BIN]]&amp;" - "&amp;Table72818216[[#This Row],[CAID]]</f>
        <v xml:space="preserve"> -  - </v>
      </c>
      <c r="N169" s="90"/>
    </row>
    <row r="170" spans="8:14" x14ac:dyDescent="0.25">
      <c r="H170" s="91"/>
      <c r="I170" s="91"/>
      <c r="J170" s="97"/>
      <c r="K170" s="79"/>
      <c r="L170" s="79"/>
      <c r="M170" s="79" t="str">
        <f>Table72818216[[#This Row],[DBA]]&amp;" - "&amp;Table72818216[[#This Row],[BIN]]&amp;" - "&amp;Table72818216[[#This Row],[CAID]]</f>
        <v xml:space="preserve"> -  - </v>
      </c>
      <c r="N170" s="90"/>
    </row>
    <row r="171" spans="8:14" x14ac:dyDescent="0.25">
      <c r="H171" s="91"/>
      <c r="I171" s="91"/>
      <c r="J171" s="97"/>
      <c r="K171" s="79"/>
      <c r="L171" s="79"/>
      <c r="M171" s="79" t="str">
        <f>Table72818216[[#This Row],[DBA]]&amp;" - "&amp;Table72818216[[#This Row],[BIN]]&amp;" - "&amp;Table72818216[[#This Row],[CAID]]</f>
        <v xml:space="preserve"> -  - </v>
      </c>
      <c r="N171" s="90"/>
    </row>
    <row r="172" spans="8:14" x14ac:dyDescent="0.25">
      <c r="H172" s="91"/>
      <c r="I172" s="91"/>
      <c r="J172" s="97"/>
      <c r="K172" s="79"/>
      <c r="L172" s="79"/>
      <c r="M172" s="79" t="str">
        <f>Table72818216[[#This Row],[DBA]]&amp;" - "&amp;Table72818216[[#This Row],[BIN]]&amp;" - "&amp;Table72818216[[#This Row],[CAID]]</f>
        <v xml:space="preserve"> -  - </v>
      </c>
      <c r="N172" s="90"/>
    </row>
    <row r="173" spans="8:14" x14ac:dyDescent="0.25">
      <c r="H173" s="91"/>
      <c r="I173" s="91"/>
      <c r="J173" s="97"/>
      <c r="K173" s="79"/>
      <c r="L173" s="79"/>
      <c r="M173" s="79" t="str">
        <f>Table72818216[[#This Row],[DBA]]&amp;" - "&amp;Table72818216[[#This Row],[BIN]]&amp;" - "&amp;Table72818216[[#This Row],[CAID]]</f>
        <v xml:space="preserve"> -  - </v>
      </c>
      <c r="N173" s="90"/>
    </row>
    <row r="174" spans="8:14" x14ac:dyDescent="0.25">
      <c r="H174" s="91"/>
      <c r="I174" s="91"/>
      <c r="J174" s="97"/>
      <c r="K174" s="79"/>
      <c r="L174" s="79"/>
      <c r="M174" s="79" t="str">
        <f>Table72818216[[#This Row],[DBA]]&amp;" - "&amp;Table72818216[[#This Row],[BIN]]&amp;" - "&amp;Table72818216[[#This Row],[CAID]]</f>
        <v xml:space="preserve"> -  - </v>
      </c>
      <c r="N174" s="90"/>
    </row>
    <row r="175" spans="8:14" x14ac:dyDescent="0.25">
      <c r="H175" s="91"/>
      <c r="I175" s="91"/>
      <c r="J175" s="97"/>
      <c r="K175" s="79"/>
      <c r="L175" s="79"/>
      <c r="M175" s="79" t="str">
        <f>Table72818216[[#This Row],[DBA]]&amp;" - "&amp;Table72818216[[#This Row],[BIN]]&amp;" - "&amp;Table72818216[[#This Row],[CAID]]</f>
        <v xml:space="preserve"> -  - </v>
      </c>
      <c r="N175" s="90"/>
    </row>
    <row r="176" spans="8:14" x14ac:dyDescent="0.25">
      <c r="H176" s="91"/>
      <c r="I176" s="91"/>
      <c r="J176" s="97"/>
      <c r="K176" s="79"/>
      <c r="L176" s="79"/>
      <c r="M176" s="79" t="str">
        <f>Table72818216[[#This Row],[DBA]]&amp;" - "&amp;Table72818216[[#This Row],[BIN]]&amp;" - "&amp;Table72818216[[#This Row],[CAID]]</f>
        <v xml:space="preserve"> -  - </v>
      </c>
      <c r="N176" s="90"/>
    </row>
    <row r="177" spans="8:14" x14ac:dyDescent="0.25">
      <c r="H177" s="91"/>
      <c r="I177" s="91"/>
      <c r="J177" s="97"/>
      <c r="K177" s="79"/>
      <c r="L177" s="79"/>
      <c r="M177" s="79" t="str">
        <f>Table72818216[[#This Row],[DBA]]&amp;" - "&amp;Table72818216[[#This Row],[BIN]]&amp;" - "&amp;Table72818216[[#This Row],[CAID]]</f>
        <v xml:space="preserve"> -  - </v>
      </c>
      <c r="N177" s="90"/>
    </row>
    <row r="178" spans="8:14" x14ac:dyDescent="0.25">
      <c r="H178" s="91"/>
      <c r="I178" s="91"/>
      <c r="J178" s="97"/>
      <c r="K178" s="79"/>
      <c r="L178" s="79"/>
      <c r="M178" s="79" t="str">
        <f>Table72818216[[#This Row],[DBA]]&amp;" - "&amp;Table72818216[[#This Row],[BIN]]&amp;" - "&amp;Table72818216[[#This Row],[CAID]]</f>
        <v xml:space="preserve"> -  - </v>
      </c>
      <c r="N178" s="90"/>
    </row>
    <row r="179" spans="8:14" x14ac:dyDescent="0.25">
      <c r="H179" s="91"/>
      <c r="I179" s="91"/>
      <c r="J179" s="97"/>
      <c r="K179" s="79"/>
      <c r="L179" s="79"/>
      <c r="M179" s="79" t="str">
        <f>Table72818216[[#This Row],[DBA]]&amp;" - "&amp;Table72818216[[#This Row],[BIN]]&amp;" - "&amp;Table72818216[[#This Row],[CAID]]</f>
        <v xml:space="preserve"> -  - </v>
      </c>
      <c r="N179" s="90"/>
    </row>
    <row r="180" spans="8:14" x14ac:dyDescent="0.25">
      <c r="H180" s="91"/>
      <c r="I180" s="91"/>
      <c r="J180" s="97"/>
      <c r="K180" s="79"/>
      <c r="L180" s="79"/>
      <c r="M180" s="79" t="str">
        <f>Table72818216[[#This Row],[DBA]]&amp;" - "&amp;Table72818216[[#This Row],[BIN]]&amp;" - "&amp;Table72818216[[#This Row],[CAID]]</f>
        <v xml:space="preserve"> -  - </v>
      </c>
      <c r="N180" s="90"/>
    </row>
    <row r="181" spans="8:14" x14ac:dyDescent="0.25">
      <c r="H181" s="91"/>
      <c r="I181" s="91"/>
      <c r="J181" s="97"/>
      <c r="K181" s="79"/>
      <c r="L181" s="79"/>
      <c r="M181" s="79" t="str">
        <f>Table72818216[[#This Row],[DBA]]&amp;" - "&amp;Table72818216[[#This Row],[BIN]]&amp;" - "&amp;Table72818216[[#This Row],[CAID]]</f>
        <v xml:space="preserve"> -  - </v>
      </c>
      <c r="N181" s="90"/>
    </row>
    <row r="182" spans="8:14" x14ac:dyDescent="0.25">
      <c r="H182" s="91"/>
      <c r="I182" s="91"/>
      <c r="J182" s="97"/>
      <c r="K182" s="79"/>
      <c r="L182" s="79"/>
      <c r="M182" s="79" t="str">
        <f>Table72818216[[#This Row],[DBA]]&amp;" - "&amp;Table72818216[[#This Row],[BIN]]&amp;" - "&amp;Table72818216[[#This Row],[CAID]]</f>
        <v xml:space="preserve"> -  - </v>
      </c>
      <c r="N182" s="90"/>
    </row>
    <row r="183" spans="8:14" x14ac:dyDescent="0.25">
      <c r="H183" s="91"/>
      <c r="I183" s="91"/>
      <c r="J183" s="97"/>
      <c r="K183" s="79"/>
      <c r="L183" s="79"/>
      <c r="M183" s="79" t="str">
        <f>Table72818216[[#This Row],[DBA]]&amp;" - "&amp;Table72818216[[#This Row],[BIN]]&amp;" - "&amp;Table72818216[[#This Row],[CAID]]</f>
        <v xml:space="preserve"> -  - </v>
      </c>
      <c r="N183" s="90"/>
    </row>
    <row r="184" spans="8:14" x14ac:dyDescent="0.25">
      <c r="H184" s="91"/>
      <c r="I184" s="91"/>
      <c r="J184" s="97"/>
      <c r="K184" s="79"/>
      <c r="L184" s="79"/>
      <c r="M184" s="79" t="str">
        <f>Table72818216[[#This Row],[DBA]]&amp;" - "&amp;Table72818216[[#This Row],[BIN]]&amp;" - "&amp;Table72818216[[#This Row],[CAID]]</f>
        <v xml:space="preserve"> -  - </v>
      </c>
      <c r="N184" s="90"/>
    </row>
    <row r="185" spans="8:14" x14ac:dyDescent="0.25">
      <c r="H185" s="91"/>
      <c r="I185" s="91"/>
      <c r="J185" s="97"/>
      <c r="K185" s="79"/>
      <c r="L185" s="79"/>
      <c r="M185" s="79" t="str">
        <f>Table72818216[[#This Row],[DBA]]&amp;" - "&amp;Table72818216[[#This Row],[BIN]]&amp;" - "&amp;Table72818216[[#This Row],[CAID]]</f>
        <v xml:space="preserve"> -  - </v>
      </c>
      <c r="N185" s="90"/>
    </row>
    <row r="186" spans="8:14" x14ac:dyDescent="0.25">
      <c r="H186" s="91"/>
      <c r="I186" s="91"/>
      <c r="J186" s="97"/>
      <c r="K186" s="79"/>
      <c r="L186" s="79"/>
      <c r="M186" s="79" t="str">
        <f>Table72818216[[#This Row],[DBA]]&amp;" - "&amp;Table72818216[[#This Row],[BIN]]&amp;" - "&amp;Table72818216[[#This Row],[CAID]]</f>
        <v xml:space="preserve"> -  - </v>
      </c>
      <c r="N186" s="90"/>
    </row>
    <row r="187" spans="8:14" x14ac:dyDescent="0.25">
      <c r="H187" s="91"/>
      <c r="I187" s="91"/>
      <c r="J187" s="97"/>
      <c r="K187" s="79"/>
      <c r="L187" s="79"/>
      <c r="M187" s="79" t="str">
        <f>Table72818216[[#This Row],[DBA]]&amp;" - "&amp;Table72818216[[#This Row],[BIN]]&amp;" - "&amp;Table72818216[[#This Row],[CAID]]</f>
        <v xml:space="preserve"> -  - </v>
      </c>
      <c r="N187" s="90"/>
    </row>
    <row r="188" spans="8:14" x14ac:dyDescent="0.25">
      <c r="H188" s="91"/>
      <c r="I188" s="91"/>
      <c r="J188" s="97"/>
      <c r="K188" s="79"/>
      <c r="L188" s="79"/>
      <c r="M188" s="79" t="str">
        <f>Table72818216[[#This Row],[DBA]]&amp;" - "&amp;Table72818216[[#This Row],[BIN]]&amp;" - "&amp;Table72818216[[#This Row],[CAID]]</f>
        <v xml:space="preserve"> -  - </v>
      </c>
      <c r="N188" s="90"/>
    </row>
    <row r="189" spans="8:14" x14ac:dyDescent="0.25">
      <c r="H189" s="91"/>
      <c r="I189" s="91"/>
      <c r="J189" s="97"/>
      <c r="K189" s="79"/>
      <c r="L189" s="79"/>
      <c r="M189" s="79" t="str">
        <f>Table72818216[[#This Row],[DBA]]&amp;" - "&amp;Table72818216[[#This Row],[BIN]]&amp;" - "&amp;Table72818216[[#This Row],[CAID]]</f>
        <v xml:space="preserve"> -  - </v>
      </c>
      <c r="N189" s="90"/>
    </row>
    <row r="190" spans="8:14" x14ac:dyDescent="0.25">
      <c r="H190" s="91"/>
      <c r="I190" s="91"/>
      <c r="J190" s="97"/>
      <c r="K190" s="79"/>
      <c r="L190" s="79"/>
      <c r="M190" s="79" t="str">
        <f>Table72818216[[#This Row],[DBA]]&amp;" - "&amp;Table72818216[[#This Row],[BIN]]&amp;" - "&amp;Table72818216[[#This Row],[CAID]]</f>
        <v xml:space="preserve"> -  - </v>
      </c>
      <c r="N190" s="90"/>
    </row>
    <row r="191" spans="8:14" x14ac:dyDescent="0.25">
      <c r="H191" s="91"/>
      <c r="I191" s="91"/>
      <c r="J191" s="97"/>
      <c r="K191" s="79"/>
      <c r="L191" s="79"/>
      <c r="M191" s="79" t="str">
        <f>Table72818216[[#This Row],[DBA]]&amp;" - "&amp;Table72818216[[#This Row],[BIN]]&amp;" - "&amp;Table72818216[[#This Row],[CAID]]</f>
        <v xml:space="preserve"> -  - </v>
      </c>
      <c r="N191" s="90"/>
    </row>
    <row r="192" spans="8:14" x14ac:dyDescent="0.25">
      <c r="H192" s="91"/>
      <c r="I192" s="91"/>
      <c r="J192" s="97"/>
      <c r="K192" s="79"/>
      <c r="L192" s="79"/>
      <c r="M192" s="79" t="str">
        <f>Table72818216[[#This Row],[DBA]]&amp;" - "&amp;Table72818216[[#This Row],[BIN]]&amp;" - "&amp;Table72818216[[#This Row],[CAID]]</f>
        <v xml:space="preserve"> -  - </v>
      </c>
      <c r="N192" s="90"/>
    </row>
    <row r="193" spans="8:14" x14ac:dyDescent="0.25">
      <c r="H193" s="91"/>
      <c r="I193" s="91"/>
      <c r="J193" s="97"/>
      <c r="K193" s="79"/>
      <c r="L193" s="79"/>
      <c r="M193" s="79" t="str">
        <f>Table72818216[[#This Row],[DBA]]&amp;" - "&amp;Table72818216[[#This Row],[BIN]]&amp;" - "&amp;Table72818216[[#This Row],[CAID]]</f>
        <v xml:space="preserve"> -  - </v>
      </c>
      <c r="N193" s="90"/>
    </row>
    <row r="194" spans="8:14" x14ac:dyDescent="0.25">
      <c r="H194" s="91"/>
      <c r="I194" s="91"/>
      <c r="J194" s="97"/>
      <c r="K194" s="79"/>
      <c r="L194" s="79"/>
      <c r="M194" s="79" t="str">
        <f>Table72818216[[#This Row],[DBA]]&amp;" - "&amp;Table72818216[[#This Row],[BIN]]&amp;" - "&amp;Table72818216[[#This Row],[CAID]]</f>
        <v xml:space="preserve"> -  - </v>
      </c>
      <c r="N194" s="90"/>
    </row>
    <row r="195" spans="8:14" x14ac:dyDescent="0.25">
      <c r="H195" s="91"/>
      <c r="I195" s="91"/>
      <c r="J195" s="97"/>
      <c r="K195" s="79"/>
      <c r="L195" s="79"/>
      <c r="M195" s="79" t="str">
        <f>Table72818216[[#This Row],[DBA]]&amp;" - "&amp;Table72818216[[#This Row],[BIN]]&amp;" - "&amp;Table72818216[[#This Row],[CAID]]</f>
        <v xml:space="preserve"> -  - </v>
      </c>
      <c r="N195" s="90"/>
    </row>
    <row r="196" spans="8:14" x14ac:dyDescent="0.25">
      <c r="H196" s="91"/>
      <c r="I196" s="91"/>
      <c r="J196" s="97"/>
      <c r="K196" s="79"/>
      <c r="L196" s="79"/>
      <c r="M196" s="79" t="str">
        <f>Table72818216[[#This Row],[DBA]]&amp;" - "&amp;Table72818216[[#This Row],[BIN]]&amp;" - "&amp;Table72818216[[#This Row],[CAID]]</f>
        <v xml:space="preserve"> -  - </v>
      </c>
      <c r="N196" s="90"/>
    </row>
    <row r="197" spans="8:14" x14ac:dyDescent="0.25">
      <c r="H197" s="91"/>
      <c r="I197" s="91"/>
      <c r="J197" s="97"/>
      <c r="K197" s="79"/>
      <c r="L197" s="79"/>
      <c r="M197" s="79" t="str">
        <f>Table72818216[[#This Row],[DBA]]&amp;" - "&amp;Table72818216[[#This Row],[BIN]]&amp;" - "&amp;Table72818216[[#This Row],[CAID]]</f>
        <v xml:space="preserve"> -  - </v>
      </c>
      <c r="N197" s="90"/>
    </row>
    <row r="198" spans="8:14" x14ac:dyDescent="0.25">
      <c r="H198" s="91"/>
      <c r="I198" s="91"/>
      <c r="J198" s="97"/>
      <c r="K198" s="79"/>
      <c r="L198" s="79"/>
      <c r="M198" s="79" t="str">
        <f>Table72818216[[#This Row],[DBA]]&amp;" - "&amp;Table72818216[[#This Row],[BIN]]&amp;" - "&amp;Table72818216[[#This Row],[CAID]]</f>
        <v xml:space="preserve"> -  - </v>
      </c>
      <c r="N198" s="90"/>
    </row>
    <row r="199" spans="8:14" x14ac:dyDescent="0.25">
      <c r="H199" s="91"/>
      <c r="I199" s="91"/>
      <c r="J199" s="97"/>
      <c r="K199" s="79"/>
      <c r="L199" s="79"/>
      <c r="M199" s="79" t="str">
        <f>Table72818216[[#This Row],[DBA]]&amp;" - "&amp;Table72818216[[#This Row],[BIN]]&amp;" - "&amp;Table72818216[[#This Row],[CAID]]</f>
        <v xml:space="preserve"> -  - </v>
      </c>
      <c r="N199" s="90"/>
    </row>
    <row r="200" spans="8:14" x14ac:dyDescent="0.25">
      <c r="H200" s="91"/>
      <c r="I200" s="91"/>
      <c r="J200" s="97"/>
      <c r="K200" s="79"/>
      <c r="L200" s="79"/>
      <c r="M200" s="79" t="str">
        <f>Table72818216[[#This Row],[DBA]]&amp;" - "&amp;Table72818216[[#This Row],[BIN]]&amp;" - "&amp;Table72818216[[#This Row],[CAID]]</f>
        <v xml:space="preserve"> -  - </v>
      </c>
      <c r="N200" s="90"/>
    </row>
    <row r="201" spans="8:14" x14ac:dyDescent="0.25">
      <c r="H201" s="91"/>
      <c r="I201" s="91"/>
      <c r="J201" s="97"/>
      <c r="K201" s="79"/>
      <c r="L201" s="79"/>
      <c r="M201" s="79" t="str">
        <f>Table72818216[[#This Row],[DBA]]&amp;" - "&amp;Table72818216[[#This Row],[BIN]]&amp;" - "&amp;Table72818216[[#This Row],[CAID]]</f>
        <v xml:space="preserve"> -  - </v>
      </c>
      <c r="N201" s="90"/>
    </row>
    <row r="202" spans="8:14" x14ac:dyDescent="0.25">
      <c r="H202" s="91"/>
      <c r="I202" s="91"/>
      <c r="J202" s="97"/>
      <c r="K202" s="79"/>
      <c r="L202" s="79"/>
      <c r="M202" s="79" t="str">
        <f>Table72818216[[#This Row],[DBA]]&amp;" - "&amp;Table72818216[[#This Row],[BIN]]&amp;" - "&amp;Table72818216[[#This Row],[CAID]]</f>
        <v xml:space="preserve"> -  - </v>
      </c>
      <c r="N202" s="90"/>
    </row>
    <row r="203" spans="8:14" x14ac:dyDescent="0.25">
      <c r="H203" s="91"/>
      <c r="I203" s="91"/>
      <c r="J203" s="97"/>
      <c r="K203" s="79"/>
      <c r="L203" s="79"/>
      <c r="M203" s="79" t="str">
        <f>Table72818216[[#This Row],[DBA]]&amp;" - "&amp;Table72818216[[#This Row],[BIN]]&amp;" - "&amp;Table72818216[[#This Row],[CAID]]</f>
        <v xml:space="preserve"> -  - </v>
      </c>
      <c r="N203" s="90"/>
    </row>
    <row r="204" spans="8:14" x14ac:dyDescent="0.25">
      <c r="H204" s="91"/>
      <c r="I204" s="91"/>
      <c r="J204" s="97"/>
      <c r="K204" s="79"/>
      <c r="L204" s="79"/>
      <c r="M204" s="79" t="str">
        <f>Table72818216[[#This Row],[DBA]]&amp;" - "&amp;Table72818216[[#This Row],[BIN]]&amp;" - "&amp;Table72818216[[#This Row],[CAID]]</f>
        <v xml:space="preserve"> -  - </v>
      </c>
      <c r="N204" s="90"/>
    </row>
    <row r="205" spans="8:14" x14ac:dyDescent="0.25">
      <c r="H205" s="91"/>
      <c r="I205" s="91"/>
      <c r="J205" s="97"/>
      <c r="K205" s="79"/>
      <c r="L205" s="79"/>
      <c r="M205" s="79" t="str">
        <f>Table72818216[[#This Row],[DBA]]&amp;" - "&amp;Table72818216[[#This Row],[BIN]]&amp;" - "&amp;Table72818216[[#This Row],[CAID]]</f>
        <v xml:space="preserve"> -  - </v>
      </c>
      <c r="N205" s="90"/>
    </row>
    <row r="206" spans="8:14" x14ac:dyDescent="0.25">
      <c r="H206" s="91"/>
      <c r="I206" s="91"/>
      <c r="J206" s="97"/>
      <c r="K206" s="79"/>
      <c r="L206" s="79"/>
      <c r="M206" s="79" t="str">
        <f>Table72818216[[#This Row],[DBA]]&amp;" - "&amp;Table72818216[[#This Row],[BIN]]&amp;" - "&amp;Table72818216[[#This Row],[CAID]]</f>
        <v xml:space="preserve"> -  - </v>
      </c>
      <c r="N206" s="90"/>
    </row>
    <row r="207" spans="8:14" x14ac:dyDescent="0.25">
      <c r="H207" s="91"/>
      <c r="I207" s="91"/>
      <c r="J207" s="97"/>
      <c r="K207" s="79"/>
      <c r="L207" s="79"/>
      <c r="M207" s="79" t="str">
        <f>Table72818216[[#This Row],[DBA]]&amp;" - "&amp;Table72818216[[#This Row],[BIN]]&amp;" - "&amp;Table72818216[[#This Row],[CAID]]</f>
        <v xml:space="preserve"> -  - </v>
      </c>
      <c r="N207" s="90"/>
    </row>
    <row r="208" spans="8:14" x14ac:dyDescent="0.25">
      <c r="H208" s="91"/>
      <c r="I208" s="91"/>
      <c r="J208" s="97"/>
      <c r="K208" s="79"/>
      <c r="L208" s="79"/>
      <c r="M208" s="79" t="str">
        <f>Table72818216[[#This Row],[DBA]]&amp;" - "&amp;Table72818216[[#This Row],[BIN]]&amp;" - "&amp;Table72818216[[#This Row],[CAID]]</f>
        <v xml:space="preserve"> -  - </v>
      </c>
      <c r="N208" s="90"/>
    </row>
    <row r="209" spans="8:14" x14ac:dyDescent="0.25">
      <c r="H209" s="91"/>
      <c r="I209" s="91"/>
      <c r="J209" s="97"/>
      <c r="K209" s="79"/>
      <c r="L209" s="79"/>
      <c r="M209" s="79" t="str">
        <f>Table72818216[[#This Row],[DBA]]&amp;" - "&amp;Table72818216[[#This Row],[BIN]]&amp;" - "&amp;Table72818216[[#This Row],[CAID]]</f>
        <v xml:space="preserve"> -  - </v>
      </c>
      <c r="N209" s="90"/>
    </row>
    <row r="210" spans="8:14" x14ac:dyDescent="0.25">
      <c r="H210" s="91"/>
      <c r="I210" s="91"/>
      <c r="J210" s="97"/>
      <c r="K210" s="79"/>
      <c r="L210" s="79"/>
      <c r="M210" s="79" t="str">
        <f>Table72818216[[#This Row],[DBA]]&amp;" - "&amp;Table72818216[[#This Row],[BIN]]&amp;" - "&amp;Table72818216[[#This Row],[CAID]]</f>
        <v xml:space="preserve"> -  - </v>
      </c>
      <c r="N210" s="90"/>
    </row>
    <row r="211" spans="8:14" x14ac:dyDescent="0.25">
      <c r="H211" s="91"/>
      <c r="I211" s="91"/>
      <c r="J211" s="97"/>
      <c r="K211" s="79"/>
      <c r="L211" s="79"/>
      <c r="M211" s="79" t="str">
        <f>Table72818216[[#This Row],[DBA]]&amp;" - "&amp;Table72818216[[#This Row],[BIN]]&amp;" - "&amp;Table72818216[[#This Row],[CAID]]</f>
        <v xml:space="preserve"> -  - </v>
      </c>
      <c r="N211" s="90"/>
    </row>
    <row r="212" spans="8:14" x14ac:dyDescent="0.25">
      <c r="H212" s="91"/>
      <c r="I212" s="91"/>
      <c r="J212" s="97"/>
      <c r="K212" s="79"/>
      <c r="L212" s="79"/>
      <c r="M212" s="79" t="str">
        <f>Table72818216[[#This Row],[DBA]]&amp;" - "&amp;Table72818216[[#This Row],[BIN]]&amp;" - "&amp;Table72818216[[#This Row],[CAID]]</f>
        <v xml:space="preserve"> -  - </v>
      </c>
      <c r="N212" s="90"/>
    </row>
    <row r="213" spans="8:14" x14ac:dyDescent="0.25">
      <c r="H213" s="91"/>
      <c r="I213" s="91"/>
      <c r="J213" s="97"/>
      <c r="K213" s="79"/>
      <c r="L213" s="79"/>
      <c r="M213" s="79" t="str">
        <f>Table72818216[[#This Row],[DBA]]&amp;" - "&amp;Table72818216[[#This Row],[BIN]]&amp;" - "&amp;Table72818216[[#This Row],[CAID]]</f>
        <v xml:space="preserve"> -  - </v>
      </c>
      <c r="N213" s="90"/>
    </row>
    <row r="214" spans="8:14" x14ac:dyDescent="0.25">
      <c r="H214" s="91"/>
      <c r="I214" s="91"/>
      <c r="J214" s="97"/>
      <c r="K214" s="79"/>
      <c r="L214" s="79"/>
      <c r="M214" s="79" t="str">
        <f>Table72818216[[#This Row],[DBA]]&amp;" - "&amp;Table72818216[[#This Row],[BIN]]&amp;" - "&amp;Table72818216[[#This Row],[CAID]]</f>
        <v xml:space="preserve"> -  - </v>
      </c>
      <c r="N214" s="90"/>
    </row>
    <row r="215" spans="8:14" x14ac:dyDescent="0.25">
      <c r="H215" s="91"/>
      <c r="I215" s="91"/>
      <c r="J215" s="97"/>
      <c r="K215" s="79"/>
      <c r="L215" s="79"/>
      <c r="M215" s="79" t="str">
        <f>Table72818216[[#This Row],[DBA]]&amp;" - "&amp;Table72818216[[#This Row],[BIN]]&amp;" - "&amp;Table72818216[[#This Row],[CAID]]</f>
        <v xml:space="preserve"> -  - </v>
      </c>
      <c r="N215" s="90"/>
    </row>
    <row r="216" spans="8:14" x14ac:dyDescent="0.25">
      <c r="H216" s="91"/>
      <c r="I216" s="91"/>
      <c r="J216" s="97"/>
      <c r="K216" s="79"/>
      <c r="L216" s="79"/>
      <c r="M216" s="79" t="str">
        <f>Table72818216[[#This Row],[DBA]]&amp;" - "&amp;Table72818216[[#This Row],[BIN]]&amp;" - "&amp;Table72818216[[#This Row],[CAID]]</f>
        <v xml:space="preserve"> -  - </v>
      </c>
      <c r="N216" s="90"/>
    </row>
    <row r="217" spans="8:14" x14ac:dyDescent="0.25">
      <c r="H217" s="91"/>
      <c r="I217" s="91"/>
      <c r="J217" s="97"/>
      <c r="K217" s="79"/>
      <c r="L217" s="79"/>
      <c r="M217" s="79" t="str">
        <f>Table72818216[[#This Row],[DBA]]&amp;" - "&amp;Table72818216[[#This Row],[BIN]]&amp;" - "&amp;Table72818216[[#This Row],[CAID]]</f>
        <v xml:space="preserve"> -  - </v>
      </c>
      <c r="N217" s="90"/>
    </row>
    <row r="218" spans="8:14" x14ac:dyDescent="0.25">
      <c r="H218" s="91"/>
      <c r="I218" s="91"/>
      <c r="J218" s="97"/>
      <c r="K218" s="79"/>
      <c r="L218" s="79"/>
      <c r="M218" s="79" t="str">
        <f>Table72818216[[#This Row],[DBA]]&amp;" - "&amp;Table72818216[[#This Row],[BIN]]&amp;" - "&amp;Table72818216[[#This Row],[CAID]]</f>
        <v xml:space="preserve"> -  - </v>
      </c>
      <c r="N218" s="90"/>
    </row>
    <row r="219" spans="8:14" x14ac:dyDescent="0.25">
      <c r="H219" s="91"/>
      <c r="I219" s="91"/>
      <c r="J219" s="97"/>
      <c r="K219" s="79"/>
      <c r="L219" s="79"/>
      <c r="M219" s="79" t="str">
        <f>Table72818216[[#This Row],[DBA]]&amp;" - "&amp;Table72818216[[#This Row],[BIN]]&amp;" - "&amp;Table72818216[[#This Row],[CAID]]</f>
        <v xml:space="preserve"> -  - </v>
      </c>
      <c r="N219" s="90"/>
    </row>
    <row r="220" spans="8:14" x14ac:dyDescent="0.25">
      <c r="H220" s="91"/>
      <c r="I220" s="91"/>
      <c r="J220" s="97"/>
      <c r="K220" s="79"/>
      <c r="L220" s="79"/>
      <c r="M220" s="79" t="str">
        <f>Table72818216[[#This Row],[DBA]]&amp;" - "&amp;Table72818216[[#This Row],[BIN]]&amp;" - "&amp;Table72818216[[#This Row],[CAID]]</f>
        <v xml:space="preserve"> -  - </v>
      </c>
      <c r="N220" s="90"/>
    </row>
    <row r="221" spans="8:14" x14ac:dyDescent="0.25">
      <c r="H221" s="91"/>
      <c r="I221" s="91"/>
      <c r="J221" s="97"/>
      <c r="K221" s="79"/>
      <c r="L221" s="79"/>
      <c r="M221" s="79" t="str">
        <f>Table72818216[[#This Row],[DBA]]&amp;" - "&amp;Table72818216[[#This Row],[BIN]]&amp;" - "&amp;Table72818216[[#This Row],[CAID]]</f>
        <v xml:space="preserve"> -  - </v>
      </c>
      <c r="N221" s="90"/>
    </row>
    <row r="222" spans="8:14" x14ac:dyDescent="0.25">
      <c r="H222" s="91"/>
      <c r="I222" s="91"/>
      <c r="J222" s="97"/>
      <c r="K222" s="79"/>
      <c r="L222" s="79"/>
      <c r="M222" s="79" t="str">
        <f>Table72818216[[#This Row],[DBA]]&amp;" - "&amp;Table72818216[[#This Row],[BIN]]&amp;" - "&amp;Table72818216[[#This Row],[CAID]]</f>
        <v xml:space="preserve"> -  - </v>
      </c>
      <c r="N222" s="90"/>
    </row>
    <row r="223" spans="8:14" x14ac:dyDescent="0.25">
      <c r="H223" s="91"/>
      <c r="I223" s="91"/>
      <c r="J223" s="97"/>
      <c r="K223" s="79"/>
      <c r="L223" s="79"/>
      <c r="M223" s="79" t="str">
        <f>Table72818216[[#This Row],[DBA]]&amp;" - "&amp;Table72818216[[#This Row],[BIN]]&amp;" - "&amp;Table72818216[[#This Row],[CAID]]</f>
        <v xml:space="preserve"> -  - </v>
      </c>
      <c r="N223" s="90"/>
    </row>
    <row r="224" spans="8:14" x14ac:dyDescent="0.25">
      <c r="H224" s="91"/>
      <c r="I224" s="91"/>
      <c r="J224" s="97"/>
      <c r="K224" s="79"/>
      <c r="L224" s="79"/>
      <c r="M224" s="79" t="str">
        <f>Table72818216[[#This Row],[DBA]]&amp;" - "&amp;Table72818216[[#This Row],[BIN]]&amp;" - "&amp;Table72818216[[#This Row],[CAID]]</f>
        <v xml:space="preserve"> -  - </v>
      </c>
      <c r="N224" s="90"/>
    </row>
    <row r="225" spans="8:14" x14ac:dyDescent="0.25">
      <c r="H225" s="91"/>
      <c r="I225" s="91"/>
      <c r="J225" s="97"/>
      <c r="K225" s="79"/>
      <c r="L225" s="79"/>
      <c r="M225" s="79" t="str">
        <f>Table72818216[[#This Row],[DBA]]&amp;" - "&amp;Table72818216[[#This Row],[BIN]]&amp;" - "&amp;Table72818216[[#This Row],[CAID]]</f>
        <v xml:space="preserve"> -  - </v>
      </c>
      <c r="N225" s="90"/>
    </row>
    <row r="226" spans="8:14" x14ac:dyDescent="0.25">
      <c r="H226" s="91"/>
      <c r="I226" s="91"/>
      <c r="J226" s="97"/>
      <c r="K226" s="79"/>
      <c r="L226" s="79"/>
      <c r="M226" s="79" t="str">
        <f>Table72818216[[#This Row],[DBA]]&amp;" - "&amp;Table72818216[[#This Row],[BIN]]&amp;" - "&amp;Table72818216[[#This Row],[CAID]]</f>
        <v xml:space="preserve"> -  - </v>
      </c>
      <c r="N226" s="90"/>
    </row>
    <row r="227" spans="8:14" x14ac:dyDescent="0.25">
      <c r="H227" s="91"/>
      <c r="I227" s="91"/>
      <c r="J227" s="97"/>
      <c r="K227" s="79"/>
      <c r="L227" s="79"/>
      <c r="M227" s="79" t="str">
        <f>Table72818216[[#This Row],[DBA]]&amp;" - "&amp;Table72818216[[#This Row],[BIN]]&amp;" - "&amp;Table72818216[[#This Row],[CAID]]</f>
        <v xml:space="preserve"> -  - </v>
      </c>
      <c r="N227" s="90"/>
    </row>
    <row r="228" spans="8:14" x14ac:dyDescent="0.25">
      <c r="H228" s="91"/>
      <c r="I228" s="91"/>
      <c r="J228" s="97"/>
      <c r="K228" s="79"/>
      <c r="L228" s="79"/>
      <c r="M228" s="79" t="str">
        <f>Table72818216[[#This Row],[DBA]]&amp;" - "&amp;Table72818216[[#This Row],[BIN]]&amp;" - "&amp;Table72818216[[#This Row],[CAID]]</f>
        <v xml:space="preserve"> -  - </v>
      </c>
      <c r="N228" s="90"/>
    </row>
    <row r="229" spans="8:14" x14ac:dyDescent="0.25">
      <c r="H229" s="91"/>
      <c r="I229" s="91"/>
      <c r="J229" s="97"/>
      <c r="K229" s="79"/>
      <c r="L229" s="79"/>
      <c r="M229" s="79" t="str">
        <f>Table72818216[[#This Row],[DBA]]&amp;" - "&amp;Table72818216[[#This Row],[BIN]]&amp;" - "&amp;Table72818216[[#This Row],[CAID]]</f>
        <v xml:space="preserve"> -  - </v>
      </c>
      <c r="N229" s="90"/>
    </row>
    <row r="230" spans="8:14" x14ac:dyDescent="0.25">
      <c r="H230" s="91"/>
      <c r="I230" s="91"/>
      <c r="J230" s="97"/>
      <c r="K230" s="79"/>
      <c r="L230" s="79"/>
      <c r="M230" s="79" t="str">
        <f>Table72818216[[#This Row],[DBA]]&amp;" - "&amp;Table72818216[[#This Row],[BIN]]&amp;" - "&amp;Table72818216[[#This Row],[CAID]]</f>
        <v xml:space="preserve"> -  - </v>
      </c>
      <c r="N230" s="90"/>
    </row>
    <row r="231" spans="8:14" x14ac:dyDescent="0.25">
      <c r="H231" s="91"/>
      <c r="I231" s="91"/>
      <c r="J231" s="97"/>
      <c r="K231" s="79"/>
      <c r="L231" s="79"/>
      <c r="M231" s="79" t="str">
        <f>Table72818216[[#This Row],[DBA]]&amp;" - "&amp;Table72818216[[#This Row],[BIN]]&amp;" - "&amp;Table72818216[[#This Row],[CAID]]</f>
        <v xml:space="preserve"> -  - </v>
      </c>
      <c r="N231" s="90"/>
    </row>
    <row r="232" spans="8:14" x14ac:dyDescent="0.25">
      <c r="H232" s="91"/>
      <c r="I232" s="91"/>
      <c r="J232" s="97"/>
      <c r="K232" s="79"/>
      <c r="L232" s="79"/>
      <c r="M232" s="79" t="str">
        <f>Table72818216[[#This Row],[DBA]]&amp;" - "&amp;Table72818216[[#This Row],[BIN]]&amp;" - "&amp;Table72818216[[#This Row],[CAID]]</f>
        <v xml:space="preserve"> -  - </v>
      </c>
      <c r="N232" s="90"/>
    </row>
    <row r="233" spans="8:14" x14ac:dyDescent="0.25">
      <c r="H233" s="91"/>
      <c r="I233" s="91"/>
      <c r="J233" s="97"/>
      <c r="K233" s="79"/>
      <c r="L233" s="79"/>
      <c r="M233" s="79" t="str">
        <f>Table72818216[[#This Row],[DBA]]&amp;" - "&amp;Table72818216[[#This Row],[BIN]]&amp;" - "&amp;Table72818216[[#This Row],[CAID]]</f>
        <v xml:space="preserve"> -  - </v>
      </c>
      <c r="N233" s="90"/>
    </row>
    <row r="234" spans="8:14" x14ac:dyDescent="0.25">
      <c r="H234" s="91"/>
      <c r="I234" s="91"/>
      <c r="J234" s="97"/>
      <c r="K234" s="79"/>
      <c r="L234" s="79"/>
      <c r="M234" s="79" t="str">
        <f>Table72818216[[#This Row],[DBA]]&amp;" - "&amp;Table72818216[[#This Row],[BIN]]&amp;" - "&amp;Table72818216[[#This Row],[CAID]]</f>
        <v xml:space="preserve"> -  - </v>
      </c>
      <c r="N234" s="90"/>
    </row>
    <row r="235" spans="8:14" x14ac:dyDescent="0.25">
      <c r="H235" s="91"/>
      <c r="I235" s="91"/>
      <c r="J235" s="97"/>
      <c r="K235" s="79"/>
      <c r="L235" s="79"/>
      <c r="M235" s="79" t="str">
        <f>Table72818216[[#This Row],[DBA]]&amp;" - "&amp;Table72818216[[#This Row],[BIN]]&amp;" - "&amp;Table72818216[[#This Row],[CAID]]</f>
        <v xml:space="preserve"> -  - </v>
      </c>
      <c r="N235" s="90"/>
    </row>
    <row r="236" spans="8:14" x14ac:dyDescent="0.25">
      <c r="H236" s="91"/>
      <c r="I236" s="91"/>
      <c r="J236" s="97"/>
      <c r="K236" s="79"/>
      <c r="L236" s="79"/>
      <c r="M236" s="79" t="str">
        <f>Table72818216[[#This Row],[DBA]]&amp;" - "&amp;Table72818216[[#This Row],[BIN]]&amp;" - "&amp;Table72818216[[#This Row],[CAID]]</f>
        <v xml:space="preserve"> -  - </v>
      </c>
      <c r="N236" s="90"/>
    </row>
    <row r="237" spans="8:14" x14ac:dyDescent="0.25">
      <c r="H237" s="91"/>
      <c r="I237" s="91"/>
      <c r="J237" s="97"/>
      <c r="K237" s="79"/>
      <c r="L237" s="79"/>
      <c r="M237" s="79" t="str">
        <f>Table72818216[[#This Row],[DBA]]&amp;" - "&amp;Table72818216[[#This Row],[BIN]]&amp;" - "&amp;Table72818216[[#This Row],[CAID]]</f>
        <v xml:space="preserve"> -  - </v>
      </c>
      <c r="N237" s="90"/>
    </row>
    <row r="238" spans="8:14" x14ac:dyDescent="0.25">
      <c r="H238" s="91"/>
      <c r="I238" s="91"/>
      <c r="J238" s="97"/>
      <c r="K238" s="79"/>
      <c r="L238" s="79"/>
      <c r="M238" s="79" t="str">
        <f>Table72818216[[#This Row],[DBA]]&amp;" - "&amp;Table72818216[[#This Row],[BIN]]&amp;" - "&amp;Table72818216[[#This Row],[CAID]]</f>
        <v xml:space="preserve"> -  - </v>
      </c>
      <c r="N238" s="90"/>
    </row>
    <row r="239" spans="8:14" x14ac:dyDescent="0.25">
      <c r="H239" s="91"/>
      <c r="I239" s="91"/>
      <c r="J239" s="97"/>
      <c r="K239" s="79"/>
      <c r="L239" s="79"/>
      <c r="M239" s="79" t="str">
        <f>Table72818216[[#This Row],[DBA]]&amp;" - "&amp;Table72818216[[#This Row],[BIN]]&amp;" - "&amp;Table72818216[[#This Row],[CAID]]</f>
        <v xml:space="preserve"> -  - </v>
      </c>
      <c r="N239" s="90"/>
    </row>
    <row r="240" spans="8:14" x14ac:dyDescent="0.25">
      <c r="H240" s="91"/>
      <c r="I240" s="91"/>
      <c r="J240" s="97"/>
      <c r="K240" s="79"/>
      <c r="L240" s="79"/>
      <c r="M240" s="79" t="str">
        <f>Table72818216[[#This Row],[DBA]]&amp;" - "&amp;Table72818216[[#This Row],[BIN]]&amp;" - "&amp;Table72818216[[#This Row],[CAID]]</f>
        <v xml:space="preserve"> -  - </v>
      </c>
      <c r="N240" s="90"/>
    </row>
    <row r="241" spans="8:14" x14ac:dyDescent="0.25">
      <c r="H241" s="91"/>
      <c r="I241" s="91"/>
      <c r="J241" s="97"/>
      <c r="K241" s="79"/>
      <c r="L241" s="79"/>
      <c r="M241" s="79" t="str">
        <f>Table72818216[[#This Row],[DBA]]&amp;" - "&amp;Table72818216[[#This Row],[BIN]]&amp;" - "&amp;Table72818216[[#This Row],[CAID]]</f>
        <v xml:space="preserve"> -  - </v>
      </c>
      <c r="N241" s="90"/>
    </row>
    <row r="242" spans="8:14" x14ac:dyDescent="0.25">
      <c r="H242" s="91"/>
      <c r="I242" s="91"/>
      <c r="J242" s="97"/>
      <c r="K242" s="79"/>
      <c r="L242" s="79"/>
      <c r="M242" s="79" t="str">
        <f>Table72818216[[#This Row],[DBA]]&amp;" - "&amp;Table72818216[[#This Row],[BIN]]&amp;" - "&amp;Table72818216[[#This Row],[CAID]]</f>
        <v xml:space="preserve"> -  - </v>
      </c>
      <c r="N242" s="90"/>
    </row>
    <row r="243" spans="8:14" x14ac:dyDescent="0.25">
      <c r="H243" s="91"/>
      <c r="I243" s="91"/>
      <c r="J243" s="97"/>
      <c r="K243" s="79"/>
      <c r="L243" s="79"/>
      <c r="M243" s="79" t="str">
        <f>Table72818216[[#This Row],[DBA]]&amp;" - "&amp;Table72818216[[#This Row],[BIN]]&amp;" - "&amp;Table72818216[[#This Row],[CAID]]</f>
        <v xml:space="preserve"> -  - </v>
      </c>
      <c r="N243" s="90"/>
    </row>
    <row r="244" spans="8:14" x14ac:dyDescent="0.25">
      <c r="H244" s="91"/>
      <c r="I244" s="91"/>
      <c r="J244" s="97"/>
      <c r="K244" s="79"/>
      <c r="L244" s="79"/>
      <c r="M244" s="79" t="str">
        <f>Table72818216[[#This Row],[DBA]]&amp;" - "&amp;Table72818216[[#This Row],[BIN]]&amp;" - "&amp;Table72818216[[#This Row],[CAID]]</f>
        <v xml:space="preserve"> -  - </v>
      </c>
      <c r="N244" s="90"/>
    </row>
    <row r="245" spans="8:14" x14ac:dyDescent="0.25">
      <c r="H245" s="91"/>
      <c r="I245" s="91"/>
      <c r="J245" s="97"/>
      <c r="K245" s="79"/>
      <c r="L245" s="79"/>
      <c r="M245" s="79" t="str">
        <f>Table72818216[[#This Row],[DBA]]&amp;" - "&amp;Table72818216[[#This Row],[BIN]]&amp;" - "&amp;Table72818216[[#This Row],[CAID]]</f>
        <v xml:space="preserve"> -  - </v>
      </c>
      <c r="N245" s="90"/>
    </row>
    <row r="246" spans="8:14" x14ac:dyDescent="0.25">
      <c r="H246" s="91"/>
      <c r="I246" s="91"/>
      <c r="J246" s="97"/>
      <c r="K246" s="79"/>
      <c r="L246" s="79"/>
      <c r="M246" s="79" t="str">
        <f>Table72818216[[#This Row],[DBA]]&amp;" - "&amp;Table72818216[[#This Row],[BIN]]&amp;" - "&amp;Table72818216[[#This Row],[CAID]]</f>
        <v xml:space="preserve"> -  - </v>
      </c>
      <c r="N246" s="90"/>
    </row>
    <row r="247" spans="8:14" x14ac:dyDescent="0.25">
      <c r="H247" s="91"/>
      <c r="I247" s="91"/>
      <c r="J247" s="97"/>
      <c r="K247" s="79"/>
      <c r="L247" s="79"/>
      <c r="M247" s="79" t="str">
        <f>Table72818216[[#This Row],[DBA]]&amp;" - "&amp;Table72818216[[#This Row],[BIN]]&amp;" - "&amp;Table72818216[[#This Row],[CAID]]</f>
        <v xml:space="preserve"> -  - </v>
      </c>
      <c r="N247" s="90"/>
    </row>
    <row r="248" spans="8:14" x14ac:dyDescent="0.25">
      <c r="H248" s="91"/>
      <c r="I248" s="91"/>
      <c r="J248" s="97"/>
      <c r="K248" s="79"/>
      <c r="L248" s="79"/>
      <c r="M248" s="79" t="str">
        <f>Table72818216[[#This Row],[DBA]]&amp;" - "&amp;Table72818216[[#This Row],[BIN]]&amp;" - "&amp;Table72818216[[#This Row],[CAID]]</f>
        <v xml:space="preserve"> -  - </v>
      </c>
      <c r="N248" s="90"/>
    </row>
    <row r="249" spans="8:14" x14ac:dyDescent="0.25">
      <c r="H249" s="91"/>
      <c r="I249" s="91"/>
      <c r="J249" s="97"/>
      <c r="K249" s="79"/>
      <c r="L249" s="79"/>
      <c r="M249" s="79" t="str">
        <f>Table72818216[[#This Row],[DBA]]&amp;" - "&amp;Table72818216[[#This Row],[BIN]]&amp;" - "&amp;Table72818216[[#This Row],[CAID]]</f>
        <v xml:space="preserve"> -  - </v>
      </c>
      <c r="N249" s="90"/>
    </row>
    <row r="250" spans="8:14" x14ac:dyDescent="0.25">
      <c r="H250" s="91"/>
      <c r="I250" s="91"/>
      <c r="J250" s="97"/>
      <c r="K250" s="79"/>
      <c r="L250" s="79"/>
      <c r="M250" s="79" t="str">
        <f>Table72818216[[#This Row],[DBA]]&amp;" - "&amp;Table72818216[[#This Row],[BIN]]&amp;" - "&amp;Table72818216[[#This Row],[CAID]]</f>
        <v xml:space="preserve"> -  - </v>
      </c>
      <c r="N250" s="90"/>
    </row>
    <row r="251" spans="8:14" x14ac:dyDescent="0.25">
      <c r="H251" s="91"/>
      <c r="I251" s="91"/>
      <c r="J251" s="97"/>
      <c r="K251" s="79"/>
      <c r="L251" s="79"/>
      <c r="M251" s="79" t="str">
        <f>Table72818216[[#This Row],[DBA]]&amp;" - "&amp;Table72818216[[#This Row],[BIN]]&amp;" - "&amp;Table72818216[[#This Row],[CAID]]</f>
        <v xml:space="preserve"> -  - </v>
      </c>
      <c r="N251" s="90"/>
    </row>
    <row r="252" spans="8:14" x14ac:dyDescent="0.25">
      <c r="H252" s="91"/>
      <c r="I252" s="91"/>
      <c r="J252" s="97"/>
      <c r="K252" s="79"/>
      <c r="L252" s="79"/>
      <c r="M252" s="79" t="str">
        <f>Table72818216[[#This Row],[DBA]]&amp;" - "&amp;Table72818216[[#This Row],[BIN]]&amp;" - "&amp;Table72818216[[#This Row],[CAID]]</f>
        <v xml:space="preserve"> -  - </v>
      </c>
      <c r="N252" s="90"/>
    </row>
    <row r="253" spans="8:14" x14ac:dyDescent="0.25">
      <c r="H253" s="91"/>
      <c r="I253" s="91"/>
      <c r="J253" s="97"/>
      <c r="K253" s="79"/>
      <c r="L253" s="79"/>
      <c r="M253" s="79" t="str">
        <f>Table72818216[[#This Row],[DBA]]&amp;" - "&amp;Table72818216[[#This Row],[BIN]]&amp;" - "&amp;Table72818216[[#This Row],[CAID]]</f>
        <v xml:space="preserve"> -  - </v>
      </c>
      <c r="N253" s="90"/>
    </row>
    <row r="254" spans="8:14" x14ac:dyDescent="0.25">
      <c r="H254" s="91"/>
      <c r="I254" s="91"/>
      <c r="J254" s="97"/>
      <c r="K254" s="79"/>
      <c r="L254" s="79"/>
      <c r="M254" s="79" t="str">
        <f>Table72818216[[#This Row],[DBA]]&amp;" - "&amp;Table72818216[[#This Row],[BIN]]&amp;" - "&amp;Table72818216[[#This Row],[CAID]]</f>
        <v xml:space="preserve"> -  - </v>
      </c>
      <c r="N254" s="90"/>
    </row>
    <row r="255" spans="8:14" x14ac:dyDescent="0.25">
      <c r="H255" s="91"/>
      <c r="I255" s="91"/>
      <c r="J255" s="97"/>
      <c r="K255" s="79"/>
      <c r="L255" s="79"/>
      <c r="M255" s="79" t="str">
        <f>Table72818216[[#This Row],[DBA]]&amp;" - "&amp;Table72818216[[#This Row],[BIN]]&amp;" - "&amp;Table72818216[[#This Row],[CAID]]</f>
        <v xml:space="preserve"> -  - </v>
      </c>
      <c r="N255" s="90"/>
    </row>
    <row r="256" spans="8:14" x14ac:dyDescent="0.25">
      <c r="H256" s="91"/>
      <c r="I256" s="91"/>
      <c r="J256" s="97"/>
      <c r="K256" s="79"/>
      <c r="L256" s="79"/>
      <c r="M256" s="79" t="str">
        <f>Table72818216[[#This Row],[DBA]]&amp;" - "&amp;Table72818216[[#This Row],[BIN]]&amp;" - "&amp;Table72818216[[#This Row],[CAID]]</f>
        <v xml:space="preserve"> -  - </v>
      </c>
      <c r="N256" s="90"/>
    </row>
    <row r="257" spans="8:14" x14ac:dyDescent="0.25">
      <c r="H257" s="91"/>
      <c r="I257" s="91"/>
      <c r="J257" s="97"/>
      <c r="K257" s="79"/>
      <c r="L257" s="79"/>
      <c r="M257" s="79" t="str">
        <f>Table72818216[[#This Row],[DBA]]&amp;" - "&amp;Table72818216[[#This Row],[BIN]]&amp;" - "&amp;Table72818216[[#This Row],[CAID]]</f>
        <v xml:space="preserve"> -  - </v>
      </c>
      <c r="N257" s="90"/>
    </row>
    <row r="258" spans="8:14" x14ac:dyDescent="0.25">
      <c r="H258" s="91"/>
      <c r="I258" s="91"/>
      <c r="J258" s="97"/>
      <c r="K258" s="79"/>
      <c r="L258" s="79"/>
      <c r="M258" s="79" t="str">
        <f>Table72818216[[#This Row],[DBA]]&amp;" - "&amp;Table72818216[[#This Row],[BIN]]&amp;" - "&amp;Table72818216[[#This Row],[CAID]]</f>
        <v xml:space="preserve"> -  - </v>
      </c>
      <c r="N258" s="90"/>
    </row>
    <row r="259" spans="8:14" x14ac:dyDescent="0.25">
      <c r="H259" s="91"/>
      <c r="I259" s="91"/>
      <c r="J259" s="97"/>
      <c r="K259" s="79"/>
      <c r="L259" s="79"/>
      <c r="M259" s="79" t="str">
        <f>Table72818216[[#This Row],[DBA]]&amp;" - "&amp;Table72818216[[#This Row],[BIN]]&amp;" - "&amp;Table72818216[[#This Row],[CAID]]</f>
        <v xml:space="preserve"> -  - </v>
      </c>
      <c r="N259" s="90"/>
    </row>
    <row r="260" spans="8:14" x14ac:dyDescent="0.25">
      <c r="H260" s="91"/>
      <c r="I260" s="91"/>
      <c r="J260" s="97"/>
      <c r="K260" s="79"/>
      <c r="L260" s="79"/>
      <c r="M260" s="79" t="str">
        <f>Table72818216[[#This Row],[DBA]]&amp;" - "&amp;Table72818216[[#This Row],[BIN]]&amp;" - "&amp;Table72818216[[#This Row],[CAID]]</f>
        <v xml:space="preserve"> -  - </v>
      </c>
      <c r="N260" s="90"/>
    </row>
    <row r="261" spans="8:14" x14ac:dyDescent="0.25">
      <c r="H261" s="91"/>
      <c r="I261" s="91"/>
      <c r="J261" s="97"/>
      <c r="K261" s="79"/>
      <c r="L261" s="79"/>
      <c r="M261" s="79" t="str">
        <f>Table72818216[[#This Row],[DBA]]&amp;" - "&amp;Table72818216[[#This Row],[BIN]]&amp;" - "&amp;Table72818216[[#This Row],[CAID]]</f>
        <v xml:space="preserve"> -  - </v>
      </c>
      <c r="N261" s="90"/>
    </row>
    <row r="262" spans="8:14" x14ac:dyDescent="0.25">
      <c r="H262" s="91"/>
      <c r="I262" s="91"/>
      <c r="J262" s="97"/>
      <c r="K262" s="79"/>
      <c r="L262" s="79"/>
      <c r="M262" s="79" t="str">
        <f>Table72818216[[#This Row],[DBA]]&amp;" - "&amp;Table72818216[[#This Row],[BIN]]&amp;" - "&amp;Table72818216[[#This Row],[CAID]]</f>
        <v xml:space="preserve"> -  - </v>
      </c>
      <c r="N262" s="90"/>
    </row>
    <row r="263" spans="8:14" x14ac:dyDescent="0.25">
      <c r="H263" s="91"/>
      <c r="I263" s="91"/>
      <c r="J263" s="97"/>
      <c r="K263" s="79"/>
      <c r="L263" s="79"/>
      <c r="M263" s="79" t="str">
        <f>Table72818216[[#This Row],[DBA]]&amp;" - "&amp;Table72818216[[#This Row],[BIN]]&amp;" - "&amp;Table72818216[[#This Row],[CAID]]</f>
        <v xml:space="preserve"> -  - </v>
      </c>
      <c r="N263" s="90"/>
    </row>
    <row r="264" spans="8:14" x14ac:dyDescent="0.25">
      <c r="H264" s="91"/>
      <c r="I264" s="91"/>
      <c r="J264" s="97"/>
      <c r="K264" s="79"/>
      <c r="L264" s="79"/>
      <c r="M264" s="79" t="str">
        <f>Table72818216[[#This Row],[DBA]]&amp;" - "&amp;Table72818216[[#This Row],[BIN]]&amp;" - "&amp;Table72818216[[#This Row],[CAID]]</f>
        <v xml:space="preserve"> -  - </v>
      </c>
      <c r="N264" s="90"/>
    </row>
    <row r="265" spans="8:14" x14ac:dyDescent="0.25">
      <c r="H265" s="91"/>
      <c r="I265" s="91"/>
      <c r="J265" s="97"/>
      <c r="K265" s="79"/>
      <c r="L265" s="79"/>
      <c r="M265" s="79" t="str">
        <f>Table72818216[[#This Row],[DBA]]&amp;" - "&amp;Table72818216[[#This Row],[BIN]]&amp;" - "&amp;Table72818216[[#This Row],[CAID]]</f>
        <v xml:space="preserve"> -  - </v>
      </c>
      <c r="N265" s="90"/>
    </row>
    <row r="266" spans="8:14" x14ac:dyDescent="0.25">
      <c r="H266" s="91"/>
      <c r="I266" s="91"/>
      <c r="J266" s="97"/>
      <c r="K266" s="79"/>
      <c r="L266" s="79"/>
      <c r="M266" s="79" t="str">
        <f>Table72818216[[#This Row],[DBA]]&amp;" - "&amp;Table72818216[[#This Row],[BIN]]&amp;" - "&amp;Table72818216[[#This Row],[CAID]]</f>
        <v xml:space="preserve"> -  - </v>
      </c>
      <c r="N266" s="90"/>
    </row>
    <row r="267" spans="8:14" x14ac:dyDescent="0.25">
      <c r="H267" s="91"/>
      <c r="I267" s="91"/>
      <c r="J267" s="97"/>
      <c r="K267" s="79"/>
      <c r="L267" s="79"/>
      <c r="M267" s="79" t="str">
        <f>Table72818216[[#This Row],[DBA]]&amp;" - "&amp;Table72818216[[#This Row],[BIN]]&amp;" - "&amp;Table72818216[[#This Row],[CAID]]</f>
        <v xml:space="preserve"> -  - </v>
      </c>
      <c r="N267" s="90"/>
    </row>
    <row r="268" spans="8:14" x14ac:dyDescent="0.25">
      <c r="H268" s="91"/>
      <c r="I268" s="91"/>
      <c r="J268" s="97"/>
      <c r="K268" s="79"/>
      <c r="L268" s="79"/>
      <c r="M268" s="79" t="str">
        <f>Table72818216[[#This Row],[DBA]]&amp;" - "&amp;Table72818216[[#This Row],[BIN]]&amp;" - "&amp;Table72818216[[#This Row],[CAID]]</f>
        <v xml:space="preserve"> -  - </v>
      </c>
      <c r="N268" s="90"/>
    </row>
    <row r="269" spans="8:14" x14ac:dyDescent="0.25">
      <c r="H269" s="91"/>
      <c r="I269" s="91"/>
      <c r="J269" s="97"/>
      <c r="K269" s="79"/>
      <c r="L269" s="79"/>
      <c r="M269" s="79" t="str">
        <f>Table72818216[[#This Row],[DBA]]&amp;" - "&amp;Table72818216[[#This Row],[BIN]]&amp;" - "&amp;Table72818216[[#This Row],[CAID]]</f>
        <v xml:space="preserve"> -  - </v>
      </c>
      <c r="N269" s="90"/>
    </row>
    <row r="270" spans="8:14" x14ac:dyDescent="0.25">
      <c r="H270" s="91"/>
      <c r="I270" s="91"/>
      <c r="J270" s="97"/>
      <c r="K270" s="79"/>
      <c r="L270" s="79"/>
      <c r="M270" s="79" t="str">
        <f>Table72818216[[#This Row],[DBA]]&amp;" - "&amp;Table72818216[[#This Row],[BIN]]&amp;" - "&amp;Table72818216[[#This Row],[CAID]]</f>
        <v xml:space="preserve"> -  - </v>
      </c>
      <c r="N270" s="90"/>
    </row>
    <row r="271" spans="8:14" x14ac:dyDescent="0.25">
      <c r="H271" s="91"/>
      <c r="I271" s="91"/>
      <c r="J271" s="97"/>
      <c r="K271" s="79"/>
      <c r="L271" s="79"/>
      <c r="M271" s="79" t="str">
        <f>Table72818216[[#This Row],[DBA]]&amp;" - "&amp;Table72818216[[#This Row],[BIN]]&amp;" - "&amp;Table72818216[[#This Row],[CAID]]</f>
        <v xml:space="preserve"> -  - </v>
      </c>
      <c r="N271" s="90"/>
    </row>
    <row r="272" spans="8:14" x14ac:dyDescent="0.25">
      <c r="H272" s="91"/>
      <c r="I272" s="91"/>
      <c r="J272" s="97"/>
      <c r="K272" s="79"/>
      <c r="L272" s="79"/>
      <c r="M272" s="79" t="str">
        <f>Table72818216[[#This Row],[DBA]]&amp;" - "&amp;Table72818216[[#This Row],[BIN]]&amp;" - "&amp;Table72818216[[#This Row],[CAID]]</f>
        <v xml:space="preserve"> -  - </v>
      </c>
      <c r="N272" s="90"/>
    </row>
    <row r="273" spans="8:14" x14ac:dyDescent="0.25">
      <c r="H273" s="91"/>
      <c r="I273" s="91"/>
      <c r="J273" s="97"/>
      <c r="K273" s="79"/>
      <c r="L273" s="79"/>
      <c r="M273" s="79" t="str">
        <f>Table72818216[[#This Row],[DBA]]&amp;" - "&amp;Table72818216[[#This Row],[BIN]]&amp;" - "&amp;Table72818216[[#This Row],[CAID]]</f>
        <v xml:space="preserve"> -  - </v>
      </c>
      <c r="N273" s="90"/>
    </row>
    <row r="274" spans="8:14" x14ac:dyDescent="0.25">
      <c r="H274" s="91"/>
      <c r="I274" s="91"/>
      <c r="J274" s="97"/>
      <c r="K274" s="79"/>
      <c r="L274" s="79"/>
      <c r="M274" s="79" t="str">
        <f>Table72818216[[#This Row],[DBA]]&amp;" - "&amp;Table72818216[[#This Row],[BIN]]&amp;" - "&amp;Table72818216[[#This Row],[CAID]]</f>
        <v xml:space="preserve"> -  - </v>
      </c>
      <c r="N274" s="90"/>
    </row>
    <row r="275" spans="8:14" x14ac:dyDescent="0.25">
      <c r="H275" s="91"/>
      <c r="I275" s="91"/>
      <c r="J275" s="97"/>
      <c r="K275" s="79"/>
      <c r="L275" s="79"/>
      <c r="M275" s="79" t="str">
        <f>Table72818216[[#This Row],[DBA]]&amp;" - "&amp;Table72818216[[#This Row],[BIN]]&amp;" - "&amp;Table72818216[[#This Row],[CAID]]</f>
        <v xml:space="preserve"> -  - </v>
      </c>
      <c r="N275" s="90"/>
    </row>
    <row r="276" spans="8:14" x14ac:dyDescent="0.25">
      <c r="H276" s="91"/>
      <c r="I276" s="91"/>
      <c r="J276" s="97"/>
      <c r="K276" s="79"/>
      <c r="L276" s="79"/>
      <c r="M276" s="79" t="str">
        <f>Table72818216[[#This Row],[DBA]]&amp;" - "&amp;Table72818216[[#This Row],[BIN]]&amp;" - "&amp;Table72818216[[#This Row],[CAID]]</f>
        <v xml:space="preserve"> -  - </v>
      </c>
      <c r="N276" s="90"/>
    </row>
    <row r="277" spans="8:14" x14ac:dyDescent="0.25">
      <c r="H277" s="91"/>
      <c r="I277" s="91"/>
      <c r="J277" s="97"/>
      <c r="K277" s="79"/>
      <c r="L277" s="79"/>
      <c r="M277" s="79" t="str">
        <f>Table72818216[[#This Row],[DBA]]&amp;" - "&amp;Table72818216[[#This Row],[BIN]]&amp;" - "&amp;Table72818216[[#This Row],[CAID]]</f>
        <v xml:space="preserve"> -  - </v>
      </c>
      <c r="N277" s="90"/>
    </row>
    <row r="278" spans="8:14" x14ac:dyDescent="0.25">
      <c r="H278" s="91"/>
      <c r="I278" s="91"/>
      <c r="J278" s="97"/>
      <c r="K278" s="79"/>
      <c r="L278" s="79"/>
      <c r="M278" s="79" t="str">
        <f>Table72818216[[#This Row],[DBA]]&amp;" - "&amp;Table72818216[[#This Row],[BIN]]&amp;" - "&amp;Table72818216[[#This Row],[CAID]]</f>
        <v xml:space="preserve"> -  - </v>
      </c>
      <c r="N278" s="90"/>
    </row>
    <row r="279" spans="8:14" x14ac:dyDescent="0.25">
      <c r="H279" s="91"/>
      <c r="I279" s="91"/>
      <c r="J279" s="97"/>
      <c r="K279" s="79"/>
      <c r="L279" s="79"/>
      <c r="M279" s="79" t="str">
        <f>Table72818216[[#This Row],[DBA]]&amp;" - "&amp;Table72818216[[#This Row],[BIN]]&amp;" - "&amp;Table72818216[[#This Row],[CAID]]</f>
        <v xml:space="preserve"> -  - </v>
      </c>
      <c r="N279" s="90"/>
    </row>
    <row r="280" spans="8:14" x14ac:dyDescent="0.25">
      <c r="H280" s="91"/>
      <c r="I280" s="91"/>
      <c r="J280" s="97"/>
      <c r="K280" s="79"/>
      <c r="L280" s="79"/>
      <c r="M280" s="79" t="str">
        <f>Table72818216[[#This Row],[DBA]]&amp;" - "&amp;Table72818216[[#This Row],[BIN]]&amp;" - "&amp;Table72818216[[#This Row],[CAID]]</f>
        <v xml:space="preserve"> -  - </v>
      </c>
      <c r="N280" s="90"/>
    </row>
    <row r="281" spans="8:14" x14ac:dyDescent="0.25">
      <c r="H281" s="91"/>
      <c r="I281" s="91"/>
      <c r="J281" s="97"/>
      <c r="K281" s="79"/>
      <c r="L281" s="79"/>
      <c r="M281" s="79" t="str">
        <f>Table72818216[[#This Row],[DBA]]&amp;" - "&amp;Table72818216[[#This Row],[BIN]]&amp;" - "&amp;Table72818216[[#This Row],[CAID]]</f>
        <v xml:space="preserve"> -  - </v>
      </c>
      <c r="N281" s="90"/>
    </row>
    <row r="282" spans="8:14" x14ac:dyDescent="0.25">
      <c r="H282" s="91"/>
      <c r="I282" s="91"/>
      <c r="J282" s="97"/>
      <c r="K282" s="79"/>
      <c r="L282" s="79"/>
      <c r="M282" s="79" t="str">
        <f>Table72818216[[#This Row],[DBA]]&amp;" - "&amp;Table72818216[[#This Row],[BIN]]&amp;" - "&amp;Table72818216[[#This Row],[CAID]]</f>
        <v xml:space="preserve"> -  - </v>
      </c>
      <c r="N282" s="90"/>
    </row>
    <row r="283" spans="8:14" x14ac:dyDescent="0.25">
      <c r="H283" s="91"/>
      <c r="I283" s="91"/>
      <c r="J283" s="97"/>
      <c r="K283" s="79"/>
      <c r="L283" s="79"/>
      <c r="M283" s="79" t="str">
        <f>Table72818216[[#This Row],[DBA]]&amp;" - "&amp;Table72818216[[#This Row],[BIN]]&amp;" - "&amp;Table72818216[[#This Row],[CAID]]</f>
        <v xml:space="preserve"> -  - </v>
      </c>
      <c r="N283" s="90"/>
    </row>
    <row r="284" spans="8:14" x14ac:dyDescent="0.25">
      <c r="H284" s="91"/>
      <c r="I284" s="91"/>
      <c r="J284" s="97"/>
      <c r="K284" s="79"/>
      <c r="L284" s="79"/>
      <c r="M284" s="79" t="str">
        <f>Table72818216[[#This Row],[DBA]]&amp;" - "&amp;Table72818216[[#This Row],[BIN]]&amp;" - "&amp;Table72818216[[#This Row],[CAID]]</f>
        <v xml:space="preserve"> -  - </v>
      </c>
      <c r="N284" s="90"/>
    </row>
    <row r="285" spans="8:14" x14ac:dyDescent="0.25">
      <c r="H285" s="91"/>
      <c r="I285" s="91"/>
      <c r="J285" s="97"/>
      <c r="K285" s="79"/>
      <c r="L285" s="79"/>
      <c r="M285" s="79" t="str">
        <f>Table72818216[[#This Row],[DBA]]&amp;" - "&amp;Table72818216[[#This Row],[BIN]]&amp;" - "&amp;Table72818216[[#This Row],[CAID]]</f>
        <v xml:space="preserve"> -  - </v>
      </c>
      <c r="N285" s="90"/>
    </row>
    <row r="286" spans="8:14" x14ac:dyDescent="0.25">
      <c r="H286" s="91"/>
      <c r="I286" s="91"/>
      <c r="J286" s="97"/>
      <c r="K286" s="79"/>
      <c r="L286" s="79"/>
      <c r="M286" s="79" t="str">
        <f>Table72818216[[#This Row],[DBA]]&amp;" - "&amp;Table72818216[[#This Row],[BIN]]&amp;" - "&amp;Table72818216[[#This Row],[CAID]]</f>
        <v xml:space="preserve"> -  - </v>
      </c>
      <c r="N286" s="90"/>
    </row>
    <row r="287" spans="8:14" x14ac:dyDescent="0.25">
      <c r="H287" s="91"/>
      <c r="I287" s="91"/>
      <c r="J287" s="97"/>
      <c r="K287" s="79"/>
      <c r="L287" s="79"/>
      <c r="M287" s="79" t="str">
        <f>Table72818216[[#This Row],[DBA]]&amp;" - "&amp;Table72818216[[#This Row],[BIN]]&amp;" - "&amp;Table72818216[[#This Row],[CAID]]</f>
        <v xml:space="preserve"> -  - </v>
      </c>
      <c r="N287" s="90"/>
    </row>
    <row r="288" spans="8:14" x14ac:dyDescent="0.25">
      <c r="H288" s="91"/>
      <c r="I288" s="91"/>
      <c r="J288" s="97"/>
      <c r="K288" s="79"/>
      <c r="L288" s="79"/>
      <c r="M288" s="79" t="str">
        <f>Table72818216[[#This Row],[DBA]]&amp;" - "&amp;Table72818216[[#This Row],[BIN]]&amp;" - "&amp;Table72818216[[#This Row],[CAID]]</f>
        <v xml:space="preserve"> -  - </v>
      </c>
      <c r="N288" s="90"/>
    </row>
    <row r="289" spans="8:14" x14ac:dyDescent="0.25">
      <c r="H289" s="91"/>
      <c r="I289" s="91"/>
      <c r="J289" s="97"/>
      <c r="K289" s="79"/>
      <c r="L289" s="79"/>
      <c r="M289" s="79" t="str">
        <f>Table72818216[[#This Row],[DBA]]&amp;" - "&amp;Table72818216[[#This Row],[BIN]]&amp;" - "&amp;Table72818216[[#This Row],[CAID]]</f>
        <v xml:space="preserve"> -  - </v>
      </c>
      <c r="N289" s="90"/>
    </row>
    <row r="290" spans="8:14" x14ac:dyDescent="0.25">
      <c r="H290" s="91"/>
      <c r="I290" s="91"/>
      <c r="J290" s="97"/>
      <c r="K290" s="79"/>
      <c r="L290" s="79"/>
      <c r="M290" s="79" t="str">
        <f>Table72818216[[#This Row],[DBA]]&amp;" - "&amp;Table72818216[[#This Row],[BIN]]&amp;" - "&amp;Table72818216[[#This Row],[CAID]]</f>
        <v xml:space="preserve"> -  - </v>
      </c>
      <c r="N290" s="90"/>
    </row>
    <row r="291" spans="8:14" x14ac:dyDescent="0.25">
      <c r="H291" s="91"/>
      <c r="I291" s="91"/>
      <c r="J291" s="97"/>
      <c r="K291" s="79"/>
      <c r="L291" s="79"/>
      <c r="M291" s="79" t="str">
        <f>Table72818216[[#This Row],[DBA]]&amp;" - "&amp;Table72818216[[#This Row],[BIN]]&amp;" - "&amp;Table72818216[[#This Row],[CAID]]</f>
        <v xml:space="preserve"> -  - </v>
      </c>
      <c r="N291" s="90"/>
    </row>
    <row r="292" spans="8:14" x14ac:dyDescent="0.25">
      <c r="H292" s="91"/>
      <c r="I292" s="91"/>
      <c r="J292" s="97"/>
      <c r="K292" s="79"/>
      <c r="L292" s="79"/>
      <c r="M292" s="79" t="str">
        <f>Table72818216[[#This Row],[DBA]]&amp;" - "&amp;Table72818216[[#This Row],[BIN]]&amp;" - "&amp;Table72818216[[#This Row],[CAID]]</f>
        <v xml:space="preserve"> -  - </v>
      </c>
      <c r="N292" s="90"/>
    </row>
    <row r="293" spans="8:14" x14ac:dyDescent="0.25">
      <c r="H293" s="91"/>
      <c r="I293" s="91"/>
      <c r="J293" s="97"/>
      <c r="K293" s="79"/>
      <c r="L293" s="79"/>
      <c r="M293" s="79" t="str">
        <f>Table72818216[[#This Row],[DBA]]&amp;" - "&amp;Table72818216[[#This Row],[BIN]]&amp;" - "&amp;Table72818216[[#This Row],[CAID]]</f>
        <v xml:space="preserve"> -  - </v>
      </c>
      <c r="N293" s="90"/>
    </row>
    <row r="294" spans="8:14" x14ac:dyDescent="0.25">
      <c r="H294" s="91"/>
      <c r="I294" s="91"/>
      <c r="J294" s="97"/>
      <c r="K294" s="79"/>
      <c r="L294" s="79"/>
      <c r="M294" s="79" t="str">
        <f>Table72818216[[#This Row],[DBA]]&amp;" - "&amp;Table72818216[[#This Row],[BIN]]&amp;" - "&amp;Table72818216[[#This Row],[CAID]]</f>
        <v xml:space="preserve"> -  - </v>
      </c>
      <c r="N294" s="90"/>
    </row>
    <row r="295" spans="8:14" x14ac:dyDescent="0.25">
      <c r="H295" s="91"/>
      <c r="I295" s="91"/>
      <c r="J295" s="97"/>
      <c r="K295" s="79"/>
      <c r="L295" s="79"/>
      <c r="M295" s="79" t="str">
        <f>Table72818216[[#This Row],[DBA]]&amp;" - "&amp;Table72818216[[#This Row],[BIN]]&amp;" - "&amp;Table72818216[[#This Row],[CAID]]</f>
        <v xml:space="preserve"> -  - </v>
      </c>
      <c r="N295" s="90"/>
    </row>
    <row r="296" spans="8:14" x14ac:dyDescent="0.25">
      <c r="H296" s="91"/>
      <c r="I296" s="91"/>
      <c r="J296" s="97"/>
      <c r="K296" s="79"/>
      <c r="L296" s="79"/>
      <c r="M296" s="79" t="str">
        <f>Table72818216[[#This Row],[DBA]]&amp;" - "&amp;Table72818216[[#This Row],[BIN]]&amp;" - "&amp;Table72818216[[#This Row],[CAID]]</f>
        <v xml:space="preserve"> -  - </v>
      </c>
      <c r="N296" s="90"/>
    </row>
    <row r="297" spans="8:14" x14ac:dyDescent="0.25">
      <c r="H297" s="91"/>
      <c r="I297" s="91"/>
      <c r="J297" s="97"/>
      <c r="K297" s="79"/>
      <c r="L297" s="79"/>
      <c r="M297" s="79" t="str">
        <f>Table72818216[[#This Row],[DBA]]&amp;" - "&amp;Table72818216[[#This Row],[BIN]]&amp;" - "&amp;Table72818216[[#This Row],[CAID]]</f>
        <v xml:space="preserve"> -  - </v>
      </c>
      <c r="N297" s="90"/>
    </row>
    <row r="298" spans="8:14" x14ac:dyDescent="0.25">
      <c r="H298" s="91"/>
      <c r="I298" s="91"/>
      <c r="J298" s="97"/>
      <c r="K298" s="79"/>
      <c r="L298" s="79"/>
      <c r="M298" s="79" t="str">
        <f>Table72818216[[#This Row],[DBA]]&amp;" - "&amp;Table72818216[[#This Row],[BIN]]&amp;" - "&amp;Table72818216[[#This Row],[CAID]]</f>
        <v xml:space="preserve"> -  - </v>
      </c>
      <c r="N298" s="90"/>
    </row>
    <row r="299" spans="8:14" x14ac:dyDescent="0.25">
      <c r="H299" s="91"/>
      <c r="I299" s="91"/>
      <c r="J299" s="97"/>
      <c r="K299" s="79"/>
      <c r="L299" s="79"/>
      <c r="M299" s="79" t="str">
        <f>Table72818216[[#This Row],[DBA]]&amp;" - "&amp;Table72818216[[#This Row],[BIN]]&amp;" - "&amp;Table72818216[[#This Row],[CAID]]</f>
        <v xml:space="preserve"> -  - </v>
      </c>
      <c r="N299" s="90"/>
    </row>
    <row r="300" spans="8:14" x14ac:dyDescent="0.25">
      <c r="H300" s="91"/>
      <c r="I300" s="91"/>
      <c r="J300" s="97"/>
      <c r="K300" s="79"/>
      <c r="L300" s="79"/>
      <c r="M300" s="79" t="str">
        <f>Table72818216[[#This Row],[DBA]]&amp;" - "&amp;Table72818216[[#This Row],[BIN]]&amp;" - "&amp;Table72818216[[#This Row],[CAID]]</f>
        <v xml:space="preserve"> -  - </v>
      </c>
      <c r="N300" s="90"/>
    </row>
    <row r="301" spans="8:14" x14ac:dyDescent="0.25">
      <c r="H301" s="91"/>
      <c r="I301" s="91"/>
      <c r="J301" s="97"/>
      <c r="K301" s="79"/>
      <c r="L301" s="79"/>
      <c r="M301" s="79" t="str">
        <f>Table72818216[[#This Row],[DBA]]&amp;" - "&amp;Table72818216[[#This Row],[BIN]]&amp;" - "&amp;Table72818216[[#This Row],[CAID]]</f>
        <v xml:space="preserve"> -  - </v>
      </c>
      <c r="N301" s="90"/>
    </row>
    <row r="302" spans="8:14" x14ac:dyDescent="0.25">
      <c r="H302" s="91"/>
      <c r="I302" s="91"/>
      <c r="J302" s="97"/>
      <c r="K302" s="79"/>
      <c r="L302" s="79"/>
      <c r="M302" s="79" t="str">
        <f>Table72818216[[#This Row],[DBA]]&amp;" - "&amp;Table72818216[[#This Row],[BIN]]&amp;" - "&amp;Table72818216[[#This Row],[CAID]]</f>
        <v xml:space="preserve"> -  - </v>
      </c>
      <c r="N302" s="90"/>
    </row>
    <row r="303" spans="8:14" x14ac:dyDescent="0.25">
      <c r="H303" s="91"/>
      <c r="I303" s="91"/>
      <c r="J303" s="97"/>
      <c r="K303" s="79"/>
      <c r="L303" s="79"/>
      <c r="M303" s="79" t="str">
        <f>Table72818216[[#This Row],[DBA]]&amp;" - "&amp;Table72818216[[#This Row],[BIN]]&amp;" - "&amp;Table72818216[[#This Row],[CAID]]</f>
        <v xml:space="preserve"> -  - </v>
      </c>
      <c r="N303" s="90"/>
    </row>
    <row r="304" spans="8:14" x14ac:dyDescent="0.25">
      <c r="H304" s="91"/>
      <c r="I304" s="91"/>
      <c r="J304" s="97"/>
      <c r="K304" s="79"/>
      <c r="L304" s="79"/>
      <c r="M304" s="79" t="str">
        <f>Table72818216[[#This Row],[DBA]]&amp;" - "&amp;Table72818216[[#This Row],[BIN]]&amp;" - "&amp;Table72818216[[#This Row],[CAID]]</f>
        <v xml:space="preserve"> -  - </v>
      </c>
      <c r="N304" s="90"/>
    </row>
    <row r="305" spans="8:14" x14ac:dyDescent="0.25">
      <c r="H305" s="91"/>
      <c r="I305" s="91"/>
      <c r="J305" s="97"/>
      <c r="K305" s="79"/>
      <c r="L305" s="79"/>
      <c r="M305" s="79" t="str">
        <f>Table72818216[[#This Row],[DBA]]&amp;" - "&amp;Table72818216[[#This Row],[BIN]]&amp;" - "&amp;Table72818216[[#This Row],[CAID]]</f>
        <v xml:space="preserve"> -  - </v>
      </c>
      <c r="N305" s="90"/>
    </row>
    <row r="306" spans="8:14" x14ac:dyDescent="0.25">
      <c r="H306" s="92"/>
      <c r="I306" s="92"/>
      <c r="J306" s="97"/>
      <c r="K306" s="89"/>
      <c r="L306" s="89"/>
      <c r="M306" s="89" t="str">
        <f>Table72818216[[#This Row],[DBA]]&amp;" - "&amp;Table72818216[[#This Row],[BIN]]&amp;" - "&amp;Table72818216[[#This Row],[CAID]]</f>
        <v xml:space="preserve"> -  - </v>
      </c>
      <c r="N306" s="90"/>
    </row>
  </sheetData>
  <mergeCells count="5">
    <mergeCell ref="C2:D2"/>
    <mergeCell ref="C3:D3"/>
    <mergeCell ref="C4:D4"/>
    <mergeCell ref="C6:D6"/>
    <mergeCell ref="H6:O6"/>
  </mergeCells>
  <dataValidations count="11">
    <dataValidation allowBlank="1" showInputMessage="1" showErrorMessage="1" promptTitle="Rule Name" prompt="Rule Name is the rule identifier created by the seller and made available in reporting for insight into why an RDR case_x000a_was accepted. _x000a__x000a_Keep rule names short, explicit, and clear enough to be referenced in RDR communications. _x000a__x000a_" sqref="C6:D6" xr:uid="{A489E390-239E-4E51-819E-13AE664FC976}"/>
    <dataValidation allowBlank="1" showInputMessage="1" showErrorMessage="1" promptTitle="ARN (Acquirer Reference Number)" prompt="ARN (Acquirer Reference Number)" sqref="J9:J306" xr:uid="{205C173F-3B94-4BE1-B2E7-E9BFA13F6A28}"/>
    <dataValidation allowBlank="1" showInputMessage="1" showErrorMessage="1" promptTitle="Merchant ID" prompt="This cell contains the Merchant ID for the Merchant account.  This will be populated by Verifi" sqref="N9:N306" xr:uid="{6593F8FD-F56A-4DA4-844D-35078A904042}"/>
    <dataValidation allowBlank="1" showInputMessage="1" showErrorMessage="1" promptTitle="Merchant Category Code" prompt="This is the Merchant Category Code associated with the BIN/CAID" sqref="K9:K306" xr:uid="{0C5BC2AB-62D0-4C30-AEC8-FB2187B555D3}"/>
    <dataValidation type="textLength" allowBlank="1" showInputMessage="1" showErrorMessage="1" promptTitle="DBA" prompt="DBA can only be up to 20 characters" sqref="L9:L306" xr:uid="{781E61E2-7DF8-40C1-B66F-008452A6F16E}">
      <formula1>0</formula1>
      <formula2>20</formula2>
    </dataValidation>
    <dataValidation allowBlank="1" showInputMessage="1" showErrorMessage="1" promptTitle="Do not change this cell" prompt="The function attached will create the merchant name.  This is for Verifi Only" sqref="M9:M306" xr:uid="{A2711607-F6EB-477C-A988-F6EAB35087C3}"/>
    <dataValidation type="textLength" allowBlank="1" showInputMessage="1" showErrorMessage="1" promptTitle="CAID" prompt="CAID cannot be greater than 15 characters" sqref="I9:I306" xr:uid="{1B9CC024-F7A3-4BFB-8B41-7F90A372F921}">
      <formula1>0</formula1>
      <formula2>15</formula2>
    </dataValidation>
    <dataValidation type="textLength" allowBlank="1" showInputMessage="1" showErrorMessage="1" promptTitle="BIN" prompt="The BIN has to be 6 characters only" sqref="H9:H306" xr:uid="{4D3ADF2C-6F87-4B05-94E9-BCCA6C230E58}">
      <formula1>6</formula1>
      <formula2>6</formula2>
    </dataValidation>
    <dataValidation type="list" allowBlank="1" showInputMessage="1" showErrorMessage="1" sqref="B10:B11 B15 B20 B25 B30 B35 B40" xr:uid="{05062EF8-65B3-4DC2-9543-9493E82C0548}">
      <formula1>Rule</formula1>
    </dataValidation>
    <dataValidation type="list" allowBlank="1" showInputMessage="1" showErrorMessage="1" sqref="C15 C20 C25 C30 C35 C40 C10:C11" xr:uid="{F46370B3-D391-4E33-BB05-47B46BB78B41}">
      <formula1>INDIRECT(B10)</formula1>
    </dataValidation>
    <dataValidation type="list" allowBlank="1" showInputMessage="1" sqref="D15 D20 D25 D30 D35 D40 D10:D11" xr:uid="{68DA2EA8-28FB-4EA7-8FD4-67AE4A5CA26F}">
      <formula1>INDIRECT(SUBSTITUTE(B10&amp;C10," ",""))</formula1>
    </dataValidation>
  </dataValidations>
  <pageMargins left="0.75" right="0.75" top="0.75" bottom="0.75" header="0.5" footer="0.5"/>
  <pageSetup orientation="portrait" r:id="rId1"/>
  <headerFooter alignWithMargins="0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B2CCF-2456-43ED-863A-036BA14BACF8}">
  <dimension ref="B1:O306"/>
  <sheetViews>
    <sheetView showGridLines="0" workbookViewId="0">
      <selection activeCell="C2" sqref="C2:D2"/>
    </sheetView>
  </sheetViews>
  <sheetFormatPr defaultColWidth="8.77734375" defaultRowHeight="13.2" x14ac:dyDescent="0.25"/>
  <cols>
    <col min="1" max="1" width="2.21875" style="3" customWidth="1"/>
    <col min="2" max="2" width="24.77734375" style="3" bestFit="1" customWidth="1"/>
    <col min="3" max="3" width="22.77734375" style="3" customWidth="1"/>
    <col min="4" max="4" width="41.21875" style="3" bestFit="1" customWidth="1"/>
    <col min="5" max="5" width="13.21875" style="3" customWidth="1"/>
    <col min="6" max="6" width="8.77734375" style="3"/>
    <col min="7" max="7" width="14.44140625" style="3" customWidth="1"/>
    <col min="8" max="8" width="10.21875" style="3" customWidth="1"/>
    <col min="9" max="10" width="25.21875" style="3" customWidth="1"/>
    <col min="11" max="11" width="12.44140625" style="3" bestFit="1" customWidth="1"/>
    <col min="12" max="12" width="12.44140625" style="3" customWidth="1"/>
    <col min="13" max="13" width="34" style="3" bestFit="1" customWidth="1"/>
    <col min="14" max="14" width="28" style="3" customWidth="1"/>
    <col min="15" max="15" width="14.21875" style="3" bestFit="1" customWidth="1"/>
    <col min="16" max="16384" width="8.77734375" style="3"/>
  </cols>
  <sheetData>
    <row r="1" spans="2:15" ht="13.8" thickBot="1" x14ac:dyDescent="0.3"/>
    <row r="2" spans="2:15" ht="13.8" thickBot="1" x14ac:dyDescent="0.3">
      <c r="B2" s="100" t="s">
        <v>345</v>
      </c>
      <c r="C2" s="116" t="s">
        <v>347</v>
      </c>
      <c r="D2" s="117"/>
      <c r="I2" s="95"/>
      <c r="J2" s="95"/>
    </row>
    <row r="3" spans="2:15" ht="13.8" thickBot="1" x14ac:dyDescent="0.3">
      <c r="B3" s="101" t="s">
        <v>344</v>
      </c>
      <c r="C3" s="116">
        <v>11600</v>
      </c>
      <c r="D3" s="117"/>
      <c r="I3" s="95"/>
      <c r="J3" s="95"/>
    </row>
    <row r="4" spans="2:15" ht="13.8" thickBot="1" x14ac:dyDescent="0.3">
      <c r="B4" s="100" t="s">
        <v>332</v>
      </c>
      <c r="C4" s="112"/>
      <c r="D4" s="112"/>
      <c r="I4" s="95"/>
      <c r="J4" s="95"/>
    </row>
    <row r="5" spans="2:15" ht="13.8" thickBot="1" x14ac:dyDescent="0.3">
      <c r="B5" s="101" t="s">
        <v>343</v>
      </c>
      <c r="C5" s="102"/>
      <c r="D5" s="103"/>
      <c r="I5" s="95"/>
      <c r="J5" s="95"/>
    </row>
    <row r="6" spans="2:15" ht="13.8" thickBot="1" x14ac:dyDescent="0.3">
      <c r="B6" s="100" t="s">
        <v>334</v>
      </c>
      <c r="C6" s="112"/>
      <c r="D6" s="112"/>
      <c r="H6" s="113" t="s">
        <v>330</v>
      </c>
      <c r="I6" s="114"/>
      <c r="J6" s="114"/>
      <c r="K6" s="114"/>
      <c r="L6" s="114"/>
      <c r="M6" s="114"/>
      <c r="N6" s="114"/>
      <c r="O6" s="115"/>
    </row>
    <row r="7" spans="2:15" x14ac:dyDescent="0.25">
      <c r="B7" s="87"/>
      <c r="C7" s="87"/>
    </row>
    <row r="8" spans="2:15" ht="13.8" thickBot="1" x14ac:dyDescent="0.3">
      <c r="C8" s="13"/>
      <c r="H8" s="13" t="s">
        <v>84</v>
      </c>
      <c r="I8" s="13" t="s">
        <v>85</v>
      </c>
      <c r="J8" s="88" t="s">
        <v>342</v>
      </c>
      <c r="K8" s="88" t="s">
        <v>339</v>
      </c>
      <c r="L8" s="88" t="s">
        <v>333</v>
      </c>
      <c r="M8" s="93" t="s">
        <v>340</v>
      </c>
      <c r="N8" s="94" t="s">
        <v>341</v>
      </c>
    </row>
    <row r="9" spans="2:15" ht="18.75" customHeight="1" thickBot="1" x14ac:dyDescent="0.3">
      <c r="B9" s="80" t="s">
        <v>329</v>
      </c>
      <c r="C9" s="81" t="s">
        <v>64</v>
      </c>
      <c r="D9" s="82" t="s">
        <v>63</v>
      </c>
      <c r="H9" s="96"/>
      <c r="I9" s="96"/>
      <c r="J9" s="98"/>
      <c r="K9" s="99"/>
      <c r="L9" s="99"/>
      <c r="M9" s="90" t="str">
        <f>Table72818224[[#This Row],[DBA]]&amp;" - "&amp;Table72818224[[#This Row],[BIN]]&amp;" - "&amp;Table72818224[[#This Row],[CAID]]</f>
        <v xml:space="preserve"> -  - </v>
      </c>
      <c r="N9" s="90"/>
    </row>
    <row r="10" spans="2:15" ht="13.8" thickBot="1" x14ac:dyDescent="0.3">
      <c r="B10" s="83"/>
      <c r="C10" s="84"/>
      <c r="D10" s="83"/>
      <c r="H10" s="91"/>
      <c r="I10" s="91"/>
      <c r="J10" s="97"/>
      <c r="K10" s="79"/>
      <c r="L10" s="79"/>
      <c r="M10" s="79" t="str">
        <f>Table72818224[[#This Row],[DBA]]&amp;" - "&amp;Table72818224[[#This Row],[BIN]]&amp;" - "&amp;Table72818224[[#This Row],[CAID]]</f>
        <v xml:space="preserve"> -  - </v>
      </c>
      <c r="N10" s="90"/>
    </row>
    <row r="11" spans="2:15" x14ac:dyDescent="0.25">
      <c r="B11" s="85"/>
      <c r="C11" s="86"/>
      <c r="D11" s="85"/>
      <c r="H11" s="91"/>
      <c r="I11" s="91"/>
      <c r="J11" s="97"/>
      <c r="K11" s="79"/>
      <c r="L11" s="79"/>
      <c r="M11" s="79" t="str">
        <f>Table72818224[[#This Row],[DBA]]&amp;" - "&amp;Table72818224[[#This Row],[BIN]]&amp;" - "&amp;Table72818224[[#This Row],[CAID]]</f>
        <v xml:space="preserve"> -  - </v>
      </c>
      <c r="N11" s="90"/>
    </row>
    <row r="12" spans="2:15" x14ac:dyDescent="0.25">
      <c r="C12" s="30" t="s">
        <v>83</v>
      </c>
      <c r="H12" s="91"/>
      <c r="I12" s="91"/>
      <c r="J12" s="97"/>
      <c r="K12" s="79"/>
      <c r="L12" s="79"/>
      <c r="M12" s="79" t="str">
        <f>Table72818224[[#This Row],[DBA]]&amp;" - "&amp;Table72818224[[#This Row],[BIN]]&amp;" - "&amp;Table72818224[[#This Row],[CAID]]</f>
        <v xml:space="preserve"> -  - </v>
      </c>
      <c r="N12" s="90"/>
    </row>
    <row r="13" spans="2:15" ht="13.8" thickBot="1" x14ac:dyDescent="0.3">
      <c r="C13" s="29"/>
      <c r="H13" s="91"/>
      <c r="I13" s="91"/>
      <c r="J13" s="97"/>
      <c r="K13" s="79"/>
      <c r="L13" s="79"/>
      <c r="M13" s="79" t="str">
        <f>Table72818224[[#This Row],[DBA]]&amp;" - "&amp;Table72818224[[#This Row],[BIN]]&amp;" - "&amp;Table72818224[[#This Row],[CAID]]</f>
        <v xml:space="preserve"> -  - </v>
      </c>
      <c r="N13" s="90"/>
    </row>
    <row r="14" spans="2:15" ht="13.8" thickBot="1" x14ac:dyDescent="0.3">
      <c r="B14" s="80" t="s">
        <v>329</v>
      </c>
      <c r="C14" s="81" t="s">
        <v>64</v>
      </c>
      <c r="D14" s="82" t="s">
        <v>63</v>
      </c>
      <c r="H14" s="91"/>
      <c r="I14" s="91"/>
      <c r="J14" s="97"/>
      <c r="K14" s="79"/>
      <c r="L14" s="79"/>
      <c r="M14" s="79" t="str">
        <f>Table72818224[[#This Row],[DBA]]&amp;" - "&amp;Table72818224[[#This Row],[BIN]]&amp;" - "&amp;Table72818224[[#This Row],[CAID]]</f>
        <v xml:space="preserve"> -  - </v>
      </c>
      <c r="N14" s="90"/>
    </row>
    <row r="15" spans="2:15" ht="13.8" thickBot="1" x14ac:dyDescent="0.3">
      <c r="B15" s="83"/>
      <c r="C15" s="84"/>
      <c r="D15" s="83"/>
      <c r="H15" s="91"/>
      <c r="I15" s="91"/>
      <c r="J15" s="97"/>
      <c r="K15" s="79"/>
      <c r="L15" s="79"/>
      <c r="M15" s="79" t="str">
        <f>Table72818224[[#This Row],[DBA]]&amp;" - "&amp;Table72818224[[#This Row],[BIN]]&amp;" - "&amp;Table72818224[[#This Row],[CAID]]</f>
        <v xml:space="preserve"> -  - </v>
      </c>
      <c r="N15" s="90"/>
    </row>
    <row r="16" spans="2:15" x14ac:dyDescent="0.25">
      <c r="H16" s="91"/>
      <c r="I16" s="91"/>
      <c r="J16" s="97"/>
      <c r="K16" s="79"/>
      <c r="L16" s="79"/>
      <c r="M16" s="79" t="str">
        <f>Table72818224[[#This Row],[DBA]]&amp;" - "&amp;Table72818224[[#This Row],[BIN]]&amp;" - "&amp;Table72818224[[#This Row],[CAID]]</f>
        <v xml:space="preserve"> -  - </v>
      </c>
      <c r="N16" s="90"/>
    </row>
    <row r="17" spans="2:14" x14ac:dyDescent="0.25">
      <c r="C17" s="30" t="s">
        <v>83</v>
      </c>
      <c r="H17" s="91"/>
      <c r="I17" s="91"/>
      <c r="J17" s="97"/>
      <c r="K17" s="79"/>
      <c r="L17" s="79"/>
      <c r="M17" s="79" t="str">
        <f>Table72818224[[#This Row],[DBA]]&amp;" - "&amp;Table72818224[[#This Row],[BIN]]&amp;" - "&amp;Table72818224[[#This Row],[CAID]]</f>
        <v xml:space="preserve"> -  - </v>
      </c>
      <c r="N17" s="90"/>
    </row>
    <row r="18" spans="2:14" ht="13.8" thickBot="1" x14ac:dyDescent="0.3">
      <c r="C18" s="29"/>
      <c r="H18" s="91"/>
      <c r="I18" s="91"/>
      <c r="J18" s="97"/>
      <c r="K18" s="79"/>
      <c r="L18" s="79"/>
      <c r="M18" s="79" t="str">
        <f>Table72818224[[#This Row],[DBA]]&amp;" - "&amp;Table72818224[[#This Row],[BIN]]&amp;" - "&amp;Table72818224[[#This Row],[CAID]]</f>
        <v xml:space="preserve"> -  - </v>
      </c>
      <c r="N18" s="90"/>
    </row>
    <row r="19" spans="2:14" ht="13.8" thickBot="1" x14ac:dyDescent="0.3">
      <c r="B19" s="80" t="s">
        <v>329</v>
      </c>
      <c r="C19" s="81" t="s">
        <v>64</v>
      </c>
      <c r="D19" s="82" t="s">
        <v>63</v>
      </c>
      <c r="H19" s="91"/>
      <c r="I19" s="91"/>
      <c r="J19" s="97"/>
      <c r="K19" s="79"/>
      <c r="L19" s="79"/>
      <c r="M19" s="79" t="str">
        <f>Table72818224[[#This Row],[DBA]]&amp;" - "&amp;Table72818224[[#This Row],[BIN]]&amp;" - "&amp;Table72818224[[#This Row],[CAID]]</f>
        <v xml:space="preserve"> -  - </v>
      </c>
      <c r="N19" s="90"/>
    </row>
    <row r="20" spans="2:14" ht="13.8" thickBot="1" x14ac:dyDescent="0.3">
      <c r="B20" s="83"/>
      <c r="C20" s="84"/>
      <c r="D20" s="83"/>
      <c r="H20" s="91"/>
      <c r="I20" s="91"/>
      <c r="J20" s="97"/>
      <c r="K20" s="79"/>
      <c r="L20" s="79"/>
      <c r="M20" s="79" t="str">
        <f>Table72818224[[#This Row],[DBA]]&amp;" - "&amp;Table72818224[[#This Row],[BIN]]&amp;" - "&amp;Table72818224[[#This Row],[CAID]]</f>
        <v xml:space="preserve"> -  - </v>
      </c>
      <c r="N20" s="90"/>
    </row>
    <row r="21" spans="2:14" x14ac:dyDescent="0.25">
      <c r="H21" s="91"/>
      <c r="I21" s="91"/>
      <c r="J21" s="97"/>
      <c r="K21" s="79"/>
      <c r="L21" s="79"/>
      <c r="M21" s="79" t="str">
        <f>Table72818224[[#This Row],[DBA]]&amp;" - "&amp;Table72818224[[#This Row],[BIN]]&amp;" - "&amp;Table72818224[[#This Row],[CAID]]</f>
        <v xml:space="preserve"> -  - </v>
      </c>
      <c r="N21" s="90"/>
    </row>
    <row r="22" spans="2:14" x14ac:dyDescent="0.25">
      <c r="C22" s="30" t="s">
        <v>83</v>
      </c>
      <c r="H22" s="91"/>
      <c r="I22" s="91"/>
      <c r="J22" s="97"/>
      <c r="K22" s="79"/>
      <c r="L22" s="79"/>
      <c r="M22" s="79" t="str">
        <f>Table72818224[[#This Row],[DBA]]&amp;" - "&amp;Table72818224[[#This Row],[BIN]]&amp;" - "&amp;Table72818224[[#This Row],[CAID]]</f>
        <v xml:space="preserve"> -  - </v>
      </c>
      <c r="N22" s="90"/>
    </row>
    <row r="23" spans="2:14" ht="13.8" thickBot="1" x14ac:dyDescent="0.3">
      <c r="C23" s="29"/>
      <c r="H23" s="91"/>
      <c r="I23" s="91"/>
      <c r="J23" s="97"/>
      <c r="K23" s="79"/>
      <c r="L23" s="79"/>
      <c r="M23" s="79" t="str">
        <f>Table72818224[[#This Row],[DBA]]&amp;" - "&amp;Table72818224[[#This Row],[BIN]]&amp;" - "&amp;Table72818224[[#This Row],[CAID]]</f>
        <v xml:space="preserve"> -  - </v>
      </c>
      <c r="N23" s="90"/>
    </row>
    <row r="24" spans="2:14" ht="13.8" thickBot="1" x14ac:dyDescent="0.3">
      <c r="B24" s="80" t="s">
        <v>329</v>
      </c>
      <c r="C24" s="81" t="s">
        <v>64</v>
      </c>
      <c r="D24" s="82" t="s">
        <v>63</v>
      </c>
      <c r="H24" s="91"/>
      <c r="I24" s="91"/>
      <c r="J24" s="97"/>
      <c r="K24" s="79"/>
      <c r="L24" s="79"/>
      <c r="M24" s="79" t="str">
        <f>Table72818224[[#This Row],[DBA]]&amp;" - "&amp;Table72818224[[#This Row],[BIN]]&amp;" - "&amp;Table72818224[[#This Row],[CAID]]</f>
        <v xml:space="preserve"> -  - </v>
      </c>
      <c r="N24" s="90"/>
    </row>
    <row r="25" spans="2:14" ht="13.8" thickBot="1" x14ac:dyDescent="0.3">
      <c r="B25" s="83"/>
      <c r="C25" s="84"/>
      <c r="D25" s="83"/>
      <c r="H25" s="91"/>
      <c r="I25" s="91"/>
      <c r="J25" s="97"/>
      <c r="K25" s="79"/>
      <c r="L25" s="79"/>
      <c r="M25" s="79" t="str">
        <f>Table72818224[[#This Row],[DBA]]&amp;" - "&amp;Table72818224[[#This Row],[BIN]]&amp;" - "&amp;Table72818224[[#This Row],[CAID]]</f>
        <v xml:space="preserve"> -  - </v>
      </c>
      <c r="N25" s="90"/>
    </row>
    <row r="26" spans="2:14" x14ac:dyDescent="0.25">
      <c r="H26" s="91"/>
      <c r="I26" s="91"/>
      <c r="J26" s="97"/>
      <c r="K26" s="79"/>
      <c r="L26" s="79"/>
      <c r="M26" s="79" t="str">
        <f>Table72818224[[#This Row],[DBA]]&amp;" - "&amp;Table72818224[[#This Row],[BIN]]&amp;" - "&amp;Table72818224[[#This Row],[CAID]]</f>
        <v xml:space="preserve"> -  - </v>
      </c>
      <c r="N26" s="90"/>
    </row>
    <row r="27" spans="2:14" x14ac:dyDescent="0.25">
      <c r="C27" s="30" t="s">
        <v>83</v>
      </c>
      <c r="H27" s="91"/>
      <c r="I27" s="91"/>
      <c r="J27" s="97"/>
      <c r="K27" s="79"/>
      <c r="L27" s="79"/>
      <c r="M27" s="79" t="str">
        <f>Table72818224[[#This Row],[DBA]]&amp;" - "&amp;Table72818224[[#This Row],[BIN]]&amp;" - "&amp;Table72818224[[#This Row],[CAID]]</f>
        <v xml:space="preserve"> -  - </v>
      </c>
      <c r="N27" s="90"/>
    </row>
    <row r="28" spans="2:14" ht="13.8" thickBot="1" x14ac:dyDescent="0.3">
      <c r="C28" s="29"/>
      <c r="H28" s="91"/>
      <c r="I28" s="91"/>
      <c r="J28" s="97"/>
      <c r="K28" s="79"/>
      <c r="L28" s="79"/>
      <c r="M28" s="79" t="str">
        <f>Table72818224[[#This Row],[DBA]]&amp;" - "&amp;Table72818224[[#This Row],[BIN]]&amp;" - "&amp;Table72818224[[#This Row],[CAID]]</f>
        <v xml:space="preserve"> -  - </v>
      </c>
      <c r="N28" s="90"/>
    </row>
    <row r="29" spans="2:14" ht="13.8" thickBot="1" x14ac:dyDescent="0.3">
      <c r="B29" s="80" t="s">
        <v>329</v>
      </c>
      <c r="C29" s="81" t="s">
        <v>64</v>
      </c>
      <c r="D29" s="82" t="s">
        <v>63</v>
      </c>
      <c r="H29" s="91"/>
      <c r="I29" s="91"/>
      <c r="J29" s="97"/>
      <c r="K29" s="79"/>
      <c r="L29" s="79"/>
      <c r="M29" s="79" t="str">
        <f>Table72818224[[#This Row],[DBA]]&amp;" - "&amp;Table72818224[[#This Row],[BIN]]&amp;" - "&amp;Table72818224[[#This Row],[CAID]]</f>
        <v xml:space="preserve"> -  - </v>
      </c>
      <c r="N29" s="90"/>
    </row>
    <row r="30" spans="2:14" ht="13.8" thickBot="1" x14ac:dyDescent="0.3">
      <c r="B30" s="83"/>
      <c r="C30" s="84"/>
      <c r="D30" s="83"/>
      <c r="H30" s="91"/>
      <c r="I30" s="91"/>
      <c r="J30" s="97"/>
      <c r="K30" s="79"/>
      <c r="L30" s="79"/>
      <c r="M30" s="79" t="str">
        <f>Table72818224[[#This Row],[DBA]]&amp;" - "&amp;Table72818224[[#This Row],[BIN]]&amp;" - "&amp;Table72818224[[#This Row],[CAID]]</f>
        <v xml:space="preserve"> -  - </v>
      </c>
      <c r="N30" s="90"/>
    </row>
    <row r="31" spans="2:14" x14ac:dyDescent="0.25">
      <c r="H31" s="91"/>
      <c r="I31" s="91"/>
      <c r="J31" s="97"/>
      <c r="K31" s="79"/>
      <c r="L31" s="79"/>
      <c r="M31" s="79" t="str">
        <f>Table72818224[[#This Row],[DBA]]&amp;" - "&amp;Table72818224[[#This Row],[BIN]]&amp;" - "&amp;Table72818224[[#This Row],[CAID]]</f>
        <v xml:space="preserve"> -  - </v>
      </c>
      <c r="N31" s="90"/>
    </row>
    <row r="32" spans="2:14" x14ac:dyDescent="0.25">
      <c r="C32" s="30" t="s">
        <v>83</v>
      </c>
      <c r="H32" s="91"/>
      <c r="I32" s="91"/>
      <c r="J32" s="97"/>
      <c r="K32" s="79"/>
      <c r="L32" s="79"/>
      <c r="M32" s="79" t="str">
        <f>Table72818224[[#This Row],[DBA]]&amp;" - "&amp;Table72818224[[#This Row],[BIN]]&amp;" - "&amp;Table72818224[[#This Row],[CAID]]</f>
        <v xml:space="preserve"> -  - </v>
      </c>
      <c r="N32" s="90"/>
    </row>
    <row r="33" spans="2:14" ht="13.8" thickBot="1" x14ac:dyDescent="0.3">
      <c r="C33" s="29"/>
      <c r="H33" s="91"/>
      <c r="I33" s="91"/>
      <c r="J33" s="97"/>
      <c r="K33" s="79"/>
      <c r="L33" s="79"/>
      <c r="M33" s="79" t="str">
        <f>Table72818224[[#This Row],[DBA]]&amp;" - "&amp;Table72818224[[#This Row],[BIN]]&amp;" - "&amp;Table72818224[[#This Row],[CAID]]</f>
        <v xml:space="preserve"> -  - </v>
      </c>
      <c r="N33" s="90"/>
    </row>
    <row r="34" spans="2:14" ht="13.8" thickBot="1" x14ac:dyDescent="0.3">
      <c r="B34" s="80" t="s">
        <v>329</v>
      </c>
      <c r="C34" s="81" t="s">
        <v>64</v>
      </c>
      <c r="D34" s="82" t="s">
        <v>63</v>
      </c>
      <c r="H34" s="91"/>
      <c r="I34" s="91"/>
      <c r="J34" s="97"/>
      <c r="K34" s="79"/>
      <c r="L34" s="79"/>
      <c r="M34" s="79" t="str">
        <f>Table72818224[[#This Row],[DBA]]&amp;" - "&amp;Table72818224[[#This Row],[BIN]]&amp;" - "&amp;Table72818224[[#This Row],[CAID]]</f>
        <v xml:space="preserve"> -  - </v>
      </c>
      <c r="N34" s="90"/>
    </row>
    <row r="35" spans="2:14" ht="13.8" thickBot="1" x14ac:dyDescent="0.3">
      <c r="B35" s="83"/>
      <c r="C35" s="84"/>
      <c r="D35" s="83"/>
      <c r="H35" s="91"/>
      <c r="I35" s="91"/>
      <c r="J35" s="97"/>
      <c r="K35" s="79"/>
      <c r="L35" s="79"/>
      <c r="M35" s="79" t="str">
        <f>Table72818224[[#This Row],[DBA]]&amp;" - "&amp;Table72818224[[#This Row],[BIN]]&amp;" - "&amp;Table72818224[[#This Row],[CAID]]</f>
        <v xml:space="preserve"> -  - </v>
      </c>
      <c r="N35" s="90"/>
    </row>
    <row r="36" spans="2:14" x14ac:dyDescent="0.25">
      <c r="H36" s="91"/>
      <c r="I36" s="91"/>
      <c r="J36" s="97"/>
      <c r="K36" s="79"/>
      <c r="L36" s="79"/>
      <c r="M36" s="79" t="str">
        <f>Table72818224[[#This Row],[DBA]]&amp;" - "&amp;Table72818224[[#This Row],[BIN]]&amp;" - "&amp;Table72818224[[#This Row],[CAID]]</f>
        <v xml:space="preserve"> -  - </v>
      </c>
      <c r="N36" s="90"/>
    </row>
    <row r="37" spans="2:14" x14ac:dyDescent="0.25">
      <c r="C37" s="30" t="s">
        <v>83</v>
      </c>
      <c r="H37" s="91"/>
      <c r="I37" s="91"/>
      <c r="J37" s="97"/>
      <c r="K37" s="79"/>
      <c r="L37" s="79"/>
      <c r="M37" s="79" t="str">
        <f>Table72818224[[#This Row],[DBA]]&amp;" - "&amp;Table72818224[[#This Row],[BIN]]&amp;" - "&amp;Table72818224[[#This Row],[CAID]]</f>
        <v xml:space="preserve"> -  - </v>
      </c>
      <c r="N37" s="90"/>
    </row>
    <row r="38" spans="2:14" ht="13.8" thickBot="1" x14ac:dyDescent="0.3">
      <c r="C38" s="29"/>
      <c r="H38" s="91"/>
      <c r="I38" s="91"/>
      <c r="J38" s="97"/>
      <c r="K38" s="79"/>
      <c r="L38" s="79"/>
      <c r="M38" s="79" t="str">
        <f>Table72818224[[#This Row],[DBA]]&amp;" - "&amp;Table72818224[[#This Row],[BIN]]&amp;" - "&amp;Table72818224[[#This Row],[CAID]]</f>
        <v xml:space="preserve"> -  - </v>
      </c>
      <c r="N38" s="90"/>
    </row>
    <row r="39" spans="2:14" ht="13.8" thickBot="1" x14ac:dyDescent="0.3">
      <c r="B39" s="80" t="s">
        <v>329</v>
      </c>
      <c r="C39" s="81" t="s">
        <v>64</v>
      </c>
      <c r="D39" s="82" t="s">
        <v>63</v>
      </c>
      <c r="H39" s="91"/>
      <c r="I39" s="91"/>
      <c r="J39" s="97"/>
      <c r="K39" s="79"/>
      <c r="L39" s="79"/>
      <c r="M39" s="79" t="str">
        <f>Table72818224[[#This Row],[DBA]]&amp;" - "&amp;Table72818224[[#This Row],[BIN]]&amp;" - "&amp;Table72818224[[#This Row],[CAID]]</f>
        <v xml:space="preserve"> -  - </v>
      </c>
      <c r="N39" s="90"/>
    </row>
    <row r="40" spans="2:14" ht="13.8" thickBot="1" x14ac:dyDescent="0.3">
      <c r="B40" s="83"/>
      <c r="C40" s="84"/>
      <c r="D40" s="83"/>
      <c r="H40" s="91"/>
      <c r="I40" s="91"/>
      <c r="J40" s="97"/>
      <c r="K40" s="89"/>
      <c r="L40" s="89"/>
      <c r="M40" s="79" t="str">
        <f>Table72818224[[#This Row],[DBA]]&amp;" - "&amp;Table72818224[[#This Row],[BIN]]&amp;" - "&amp;Table72818224[[#This Row],[CAID]]</f>
        <v xml:space="preserve"> -  - </v>
      </c>
      <c r="N40" s="90"/>
    </row>
    <row r="41" spans="2:14" x14ac:dyDescent="0.25">
      <c r="H41" s="91"/>
      <c r="I41" s="91"/>
      <c r="J41" s="97"/>
      <c r="K41" s="79"/>
      <c r="L41" s="79"/>
      <c r="M41" s="79" t="str">
        <f>Table72818224[[#This Row],[DBA]]&amp;" - "&amp;Table72818224[[#This Row],[BIN]]&amp;" - "&amp;Table72818224[[#This Row],[CAID]]</f>
        <v xml:space="preserve"> -  - </v>
      </c>
      <c r="N41" s="90"/>
    </row>
    <row r="42" spans="2:14" x14ac:dyDescent="0.25">
      <c r="H42" s="91"/>
      <c r="I42" s="91"/>
      <c r="J42" s="97"/>
      <c r="K42" s="79"/>
      <c r="L42" s="79"/>
      <c r="M42" s="79" t="str">
        <f>Table72818224[[#This Row],[DBA]]&amp;" - "&amp;Table72818224[[#This Row],[BIN]]&amp;" - "&amp;Table72818224[[#This Row],[CAID]]</f>
        <v xml:space="preserve"> -  - </v>
      </c>
      <c r="N42" s="90"/>
    </row>
    <row r="43" spans="2:14" x14ac:dyDescent="0.25">
      <c r="H43" s="91"/>
      <c r="I43" s="91"/>
      <c r="J43" s="97"/>
      <c r="K43" s="79"/>
      <c r="L43" s="79"/>
      <c r="M43" s="79" t="str">
        <f>Table72818224[[#This Row],[DBA]]&amp;" - "&amp;Table72818224[[#This Row],[BIN]]&amp;" - "&amp;Table72818224[[#This Row],[CAID]]</f>
        <v xml:space="preserve"> -  - </v>
      </c>
      <c r="N43" s="90"/>
    </row>
    <row r="44" spans="2:14" x14ac:dyDescent="0.25">
      <c r="H44" s="91"/>
      <c r="I44" s="91"/>
      <c r="J44" s="97"/>
      <c r="K44" s="79"/>
      <c r="L44" s="79"/>
      <c r="M44" s="79" t="str">
        <f>Table72818224[[#This Row],[DBA]]&amp;" - "&amp;Table72818224[[#This Row],[BIN]]&amp;" - "&amp;Table72818224[[#This Row],[CAID]]</f>
        <v xml:space="preserve"> -  - </v>
      </c>
      <c r="N44" s="90"/>
    </row>
    <row r="45" spans="2:14" x14ac:dyDescent="0.25">
      <c r="H45" s="91"/>
      <c r="I45" s="91"/>
      <c r="J45" s="97"/>
      <c r="K45" s="79"/>
      <c r="L45" s="79"/>
      <c r="M45" s="79" t="str">
        <f>Table72818224[[#This Row],[DBA]]&amp;" - "&amp;Table72818224[[#This Row],[BIN]]&amp;" - "&amp;Table72818224[[#This Row],[CAID]]</f>
        <v xml:space="preserve"> -  - </v>
      </c>
      <c r="N45" s="90"/>
    </row>
    <row r="46" spans="2:14" x14ac:dyDescent="0.25">
      <c r="H46" s="91"/>
      <c r="I46" s="91"/>
      <c r="J46" s="97"/>
      <c r="K46" s="79"/>
      <c r="L46" s="79"/>
      <c r="M46" s="79" t="str">
        <f>Table72818224[[#This Row],[DBA]]&amp;" - "&amp;Table72818224[[#This Row],[BIN]]&amp;" - "&amp;Table72818224[[#This Row],[CAID]]</f>
        <v xml:space="preserve"> -  - </v>
      </c>
      <c r="N46" s="90"/>
    </row>
    <row r="47" spans="2:14" x14ac:dyDescent="0.25">
      <c r="H47" s="91"/>
      <c r="I47" s="91"/>
      <c r="J47" s="97"/>
      <c r="K47" s="79"/>
      <c r="L47" s="79"/>
      <c r="M47" s="79" t="str">
        <f>Table72818224[[#This Row],[DBA]]&amp;" - "&amp;Table72818224[[#This Row],[BIN]]&amp;" - "&amp;Table72818224[[#This Row],[CAID]]</f>
        <v xml:space="preserve"> -  - </v>
      </c>
      <c r="N47" s="90"/>
    </row>
    <row r="48" spans="2:14" x14ac:dyDescent="0.25">
      <c r="H48" s="91"/>
      <c r="I48" s="91"/>
      <c r="J48" s="97"/>
      <c r="K48" s="79"/>
      <c r="L48" s="79"/>
      <c r="M48" s="79" t="str">
        <f>Table72818224[[#This Row],[DBA]]&amp;" - "&amp;Table72818224[[#This Row],[BIN]]&amp;" - "&amp;Table72818224[[#This Row],[CAID]]</f>
        <v xml:space="preserve"> -  - </v>
      </c>
      <c r="N48" s="90"/>
    </row>
    <row r="49" spans="8:14" x14ac:dyDescent="0.25">
      <c r="H49" s="91"/>
      <c r="I49" s="91"/>
      <c r="J49" s="97"/>
      <c r="K49" s="79"/>
      <c r="L49" s="79"/>
      <c r="M49" s="79" t="str">
        <f>Table72818224[[#This Row],[DBA]]&amp;" - "&amp;Table72818224[[#This Row],[BIN]]&amp;" - "&amp;Table72818224[[#This Row],[CAID]]</f>
        <v xml:space="preserve"> -  - </v>
      </c>
      <c r="N49" s="90"/>
    </row>
    <row r="50" spans="8:14" x14ac:dyDescent="0.25">
      <c r="H50" s="91"/>
      <c r="I50" s="91"/>
      <c r="J50" s="97"/>
      <c r="K50" s="79"/>
      <c r="L50" s="79"/>
      <c r="M50" s="79" t="str">
        <f>Table72818224[[#This Row],[DBA]]&amp;" - "&amp;Table72818224[[#This Row],[BIN]]&amp;" - "&amp;Table72818224[[#This Row],[CAID]]</f>
        <v xml:space="preserve"> -  - </v>
      </c>
      <c r="N50" s="90"/>
    </row>
    <row r="51" spans="8:14" x14ac:dyDescent="0.25">
      <c r="H51" s="91"/>
      <c r="I51" s="91"/>
      <c r="J51" s="97"/>
      <c r="K51" s="79"/>
      <c r="L51" s="79"/>
      <c r="M51" s="79" t="str">
        <f>Table72818224[[#This Row],[DBA]]&amp;" - "&amp;Table72818224[[#This Row],[BIN]]&amp;" - "&amp;Table72818224[[#This Row],[CAID]]</f>
        <v xml:space="preserve"> -  - </v>
      </c>
      <c r="N51" s="90"/>
    </row>
    <row r="52" spans="8:14" x14ac:dyDescent="0.25">
      <c r="H52" s="91"/>
      <c r="I52" s="91"/>
      <c r="J52" s="97"/>
      <c r="K52" s="79"/>
      <c r="L52" s="79"/>
      <c r="M52" s="79" t="str">
        <f>Table72818224[[#This Row],[DBA]]&amp;" - "&amp;Table72818224[[#This Row],[BIN]]&amp;" - "&amp;Table72818224[[#This Row],[CAID]]</f>
        <v xml:space="preserve"> -  - </v>
      </c>
      <c r="N52" s="90"/>
    </row>
    <row r="53" spans="8:14" x14ac:dyDescent="0.25">
      <c r="H53" s="91"/>
      <c r="I53" s="91"/>
      <c r="J53" s="97"/>
      <c r="K53" s="79"/>
      <c r="L53" s="79"/>
      <c r="M53" s="79" t="str">
        <f>Table72818224[[#This Row],[DBA]]&amp;" - "&amp;Table72818224[[#This Row],[BIN]]&amp;" - "&amp;Table72818224[[#This Row],[CAID]]</f>
        <v xml:space="preserve"> -  - </v>
      </c>
      <c r="N53" s="90"/>
    </row>
    <row r="54" spans="8:14" x14ac:dyDescent="0.25">
      <c r="H54" s="91"/>
      <c r="I54" s="91"/>
      <c r="J54" s="97"/>
      <c r="K54" s="79"/>
      <c r="L54" s="79"/>
      <c r="M54" s="79" t="str">
        <f>Table72818224[[#This Row],[DBA]]&amp;" - "&amp;Table72818224[[#This Row],[BIN]]&amp;" - "&amp;Table72818224[[#This Row],[CAID]]</f>
        <v xml:space="preserve"> -  - </v>
      </c>
      <c r="N54" s="90"/>
    </row>
    <row r="55" spans="8:14" x14ac:dyDescent="0.25">
      <c r="H55" s="91"/>
      <c r="I55" s="91"/>
      <c r="J55" s="97"/>
      <c r="K55" s="79"/>
      <c r="L55" s="79"/>
      <c r="M55" s="79" t="str">
        <f>Table72818224[[#This Row],[DBA]]&amp;" - "&amp;Table72818224[[#This Row],[BIN]]&amp;" - "&amp;Table72818224[[#This Row],[CAID]]</f>
        <v xml:space="preserve"> -  - </v>
      </c>
      <c r="N55" s="90"/>
    </row>
    <row r="56" spans="8:14" x14ac:dyDescent="0.25">
      <c r="H56" s="91"/>
      <c r="I56" s="91"/>
      <c r="J56" s="97"/>
      <c r="K56" s="79"/>
      <c r="L56" s="79"/>
      <c r="M56" s="79" t="str">
        <f>Table72818224[[#This Row],[DBA]]&amp;" - "&amp;Table72818224[[#This Row],[BIN]]&amp;" - "&amp;Table72818224[[#This Row],[CAID]]</f>
        <v xml:space="preserve"> -  - </v>
      </c>
      <c r="N56" s="90"/>
    </row>
    <row r="57" spans="8:14" x14ac:dyDescent="0.25">
      <c r="H57" s="91"/>
      <c r="I57" s="91"/>
      <c r="J57" s="97"/>
      <c r="K57" s="79"/>
      <c r="L57" s="79"/>
      <c r="M57" s="79" t="str">
        <f>Table72818224[[#This Row],[DBA]]&amp;" - "&amp;Table72818224[[#This Row],[BIN]]&amp;" - "&amp;Table72818224[[#This Row],[CAID]]</f>
        <v xml:space="preserve"> -  - </v>
      </c>
      <c r="N57" s="90"/>
    </row>
    <row r="58" spans="8:14" x14ac:dyDescent="0.25">
      <c r="H58" s="91"/>
      <c r="I58" s="91"/>
      <c r="J58" s="97"/>
      <c r="K58" s="79"/>
      <c r="L58" s="79"/>
      <c r="M58" s="79" t="str">
        <f>Table72818224[[#This Row],[DBA]]&amp;" - "&amp;Table72818224[[#This Row],[BIN]]&amp;" - "&amp;Table72818224[[#This Row],[CAID]]</f>
        <v xml:space="preserve"> -  - </v>
      </c>
      <c r="N58" s="90"/>
    </row>
    <row r="59" spans="8:14" x14ac:dyDescent="0.25">
      <c r="H59" s="91"/>
      <c r="I59" s="91"/>
      <c r="J59" s="97"/>
      <c r="K59" s="79"/>
      <c r="L59" s="79"/>
      <c r="M59" s="79" t="str">
        <f>Table72818224[[#This Row],[DBA]]&amp;" - "&amp;Table72818224[[#This Row],[BIN]]&amp;" - "&amp;Table72818224[[#This Row],[CAID]]</f>
        <v xml:space="preserve"> -  - </v>
      </c>
      <c r="N59" s="90"/>
    </row>
    <row r="60" spans="8:14" x14ac:dyDescent="0.25">
      <c r="H60" s="91"/>
      <c r="I60" s="91"/>
      <c r="J60" s="97"/>
      <c r="K60" s="79"/>
      <c r="L60" s="79"/>
      <c r="M60" s="79" t="str">
        <f>Table72818224[[#This Row],[DBA]]&amp;" - "&amp;Table72818224[[#This Row],[BIN]]&amp;" - "&amp;Table72818224[[#This Row],[CAID]]</f>
        <v xml:space="preserve"> -  - </v>
      </c>
      <c r="N60" s="90"/>
    </row>
    <row r="61" spans="8:14" x14ac:dyDescent="0.25">
      <c r="H61" s="91"/>
      <c r="I61" s="91"/>
      <c r="J61" s="97"/>
      <c r="K61" s="79"/>
      <c r="L61" s="79"/>
      <c r="M61" s="79" t="str">
        <f>Table72818224[[#This Row],[DBA]]&amp;" - "&amp;Table72818224[[#This Row],[BIN]]&amp;" - "&amp;Table72818224[[#This Row],[CAID]]</f>
        <v xml:space="preserve"> -  - </v>
      </c>
      <c r="N61" s="90"/>
    </row>
    <row r="62" spans="8:14" x14ac:dyDescent="0.25">
      <c r="H62" s="91"/>
      <c r="I62" s="91"/>
      <c r="J62" s="97"/>
      <c r="K62" s="79"/>
      <c r="L62" s="79"/>
      <c r="M62" s="79" t="str">
        <f>Table72818224[[#This Row],[DBA]]&amp;" - "&amp;Table72818224[[#This Row],[BIN]]&amp;" - "&amp;Table72818224[[#This Row],[CAID]]</f>
        <v xml:space="preserve"> -  - </v>
      </c>
      <c r="N62" s="90"/>
    </row>
    <row r="63" spans="8:14" x14ac:dyDescent="0.25">
      <c r="H63" s="91"/>
      <c r="I63" s="91"/>
      <c r="J63" s="97"/>
      <c r="K63" s="79"/>
      <c r="L63" s="79"/>
      <c r="M63" s="79" t="str">
        <f>Table72818224[[#This Row],[DBA]]&amp;" - "&amp;Table72818224[[#This Row],[BIN]]&amp;" - "&amp;Table72818224[[#This Row],[CAID]]</f>
        <v xml:space="preserve"> -  - </v>
      </c>
      <c r="N63" s="90"/>
    </row>
    <row r="64" spans="8:14" x14ac:dyDescent="0.25">
      <c r="H64" s="91"/>
      <c r="I64" s="91"/>
      <c r="J64" s="97"/>
      <c r="K64" s="79"/>
      <c r="L64" s="79"/>
      <c r="M64" s="79" t="str">
        <f>Table72818224[[#This Row],[DBA]]&amp;" - "&amp;Table72818224[[#This Row],[BIN]]&amp;" - "&amp;Table72818224[[#This Row],[CAID]]</f>
        <v xml:space="preserve"> -  - </v>
      </c>
      <c r="N64" s="90"/>
    </row>
    <row r="65" spans="8:14" x14ac:dyDescent="0.25">
      <c r="H65" s="91"/>
      <c r="I65" s="91"/>
      <c r="J65" s="97"/>
      <c r="K65" s="79"/>
      <c r="L65" s="79"/>
      <c r="M65" s="79" t="str">
        <f>Table72818224[[#This Row],[DBA]]&amp;" - "&amp;Table72818224[[#This Row],[BIN]]&amp;" - "&amp;Table72818224[[#This Row],[CAID]]</f>
        <v xml:space="preserve"> -  - </v>
      </c>
      <c r="N65" s="90"/>
    </row>
    <row r="66" spans="8:14" x14ac:dyDescent="0.25">
      <c r="H66" s="91"/>
      <c r="I66" s="91"/>
      <c r="J66" s="97"/>
      <c r="K66" s="79"/>
      <c r="L66" s="79"/>
      <c r="M66" s="79" t="str">
        <f>Table72818224[[#This Row],[DBA]]&amp;" - "&amp;Table72818224[[#This Row],[BIN]]&amp;" - "&amp;Table72818224[[#This Row],[CAID]]</f>
        <v xml:space="preserve"> -  - </v>
      </c>
      <c r="N66" s="90"/>
    </row>
    <row r="67" spans="8:14" x14ac:dyDescent="0.25">
      <c r="H67" s="91"/>
      <c r="I67" s="91"/>
      <c r="J67" s="97"/>
      <c r="K67" s="79"/>
      <c r="L67" s="79"/>
      <c r="M67" s="79" t="str">
        <f>Table72818224[[#This Row],[DBA]]&amp;" - "&amp;Table72818224[[#This Row],[BIN]]&amp;" - "&amp;Table72818224[[#This Row],[CAID]]</f>
        <v xml:space="preserve"> -  - </v>
      </c>
      <c r="N67" s="90"/>
    </row>
    <row r="68" spans="8:14" x14ac:dyDescent="0.25">
      <c r="H68" s="91"/>
      <c r="I68" s="91"/>
      <c r="J68" s="97"/>
      <c r="K68" s="79"/>
      <c r="L68" s="79"/>
      <c r="M68" s="79" t="str">
        <f>Table72818224[[#This Row],[DBA]]&amp;" - "&amp;Table72818224[[#This Row],[BIN]]&amp;" - "&amp;Table72818224[[#This Row],[CAID]]</f>
        <v xml:space="preserve"> -  - </v>
      </c>
      <c r="N68" s="90"/>
    </row>
    <row r="69" spans="8:14" x14ac:dyDescent="0.25">
      <c r="H69" s="91"/>
      <c r="I69" s="91"/>
      <c r="J69" s="97"/>
      <c r="K69" s="79"/>
      <c r="L69" s="79"/>
      <c r="M69" s="79" t="str">
        <f>Table72818224[[#This Row],[DBA]]&amp;" - "&amp;Table72818224[[#This Row],[BIN]]&amp;" - "&amp;Table72818224[[#This Row],[CAID]]</f>
        <v xml:space="preserve"> -  - </v>
      </c>
      <c r="N69" s="90"/>
    </row>
    <row r="70" spans="8:14" x14ac:dyDescent="0.25">
      <c r="H70" s="91"/>
      <c r="I70" s="91"/>
      <c r="J70" s="97"/>
      <c r="K70" s="79"/>
      <c r="L70" s="79"/>
      <c r="M70" s="79" t="str">
        <f>Table72818224[[#This Row],[DBA]]&amp;" - "&amp;Table72818224[[#This Row],[BIN]]&amp;" - "&amp;Table72818224[[#This Row],[CAID]]</f>
        <v xml:space="preserve"> -  - </v>
      </c>
      <c r="N70" s="90"/>
    </row>
    <row r="71" spans="8:14" x14ac:dyDescent="0.25">
      <c r="H71" s="91"/>
      <c r="I71" s="91"/>
      <c r="J71" s="97"/>
      <c r="K71" s="79"/>
      <c r="L71" s="79"/>
      <c r="M71" s="79" t="str">
        <f>Table72818224[[#This Row],[DBA]]&amp;" - "&amp;Table72818224[[#This Row],[BIN]]&amp;" - "&amp;Table72818224[[#This Row],[CAID]]</f>
        <v xml:space="preserve"> -  - </v>
      </c>
      <c r="N71" s="90"/>
    </row>
    <row r="72" spans="8:14" x14ac:dyDescent="0.25">
      <c r="H72" s="91"/>
      <c r="I72" s="91"/>
      <c r="J72" s="97"/>
      <c r="K72" s="79"/>
      <c r="L72" s="79"/>
      <c r="M72" s="79" t="str">
        <f>Table72818224[[#This Row],[DBA]]&amp;" - "&amp;Table72818224[[#This Row],[BIN]]&amp;" - "&amp;Table72818224[[#This Row],[CAID]]</f>
        <v xml:space="preserve"> -  - </v>
      </c>
      <c r="N72" s="90"/>
    </row>
    <row r="73" spans="8:14" x14ac:dyDescent="0.25">
      <c r="H73" s="91"/>
      <c r="I73" s="91"/>
      <c r="J73" s="97"/>
      <c r="K73" s="79"/>
      <c r="L73" s="79"/>
      <c r="M73" s="79" t="str">
        <f>Table72818224[[#This Row],[DBA]]&amp;" - "&amp;Table72818224[[#This Row],[BIN]]&amp;" - "&amp;Table72818224[[#This Row],[CAID]]</f>
        <v xml:space="preserve"> -  - </v>
      </c>
      <c r="N73" s="90"/>
    </row>
    <row r="74" spans="8:14" x14ac:dyDescent="0.25">
      <c r="H74" s="91"/>
      <c r="I74" s="91"/>
      <c r="J74" s="97"/>
      <c r="K74" s="79"/>
      <c r="L74" s="79"/>
      <c r="M74" s="79" t="str">
        <f>Table72818224[[#This Row],[DBA]]&amp;" - "&amp;Table72818224[[#This Row],[BIN]]&amp;" - "&amp;Table72818224[[#This Row],[CAID]]</f>
        <v xml:space="preserve"> -  - </v>
      </c>
      <c r="N74" s="90"/>
    </row>
    <row r="75" spans="8:14" x14ac:dyDescent="0.25">
      <c r="H75" s="91"/>
      <c r="I75" s="91"/>
      <c r="J75" s="97"/>
      <c r="K75" s="79"/>
      <c r="L75" s="79"/>
      <c r="M75" s="79" t="str">
        <f>Table72818224[[#This Row],[DBA]]&amp;" - "&amp;Table72818224[[#This Row],[BIN]]&amp;" - "&amp;Table72818224[[#This Row],[CAID]]</f>
        <v xml:space="preserve"> -  - </v>
      </c>
      <c r="N75" s="90"/>
    </row>
    <row r="76" spans="8:14" x14ac:dyDescent="0.25">
      <c r="H76" s="91"/>
      <c r="I76" s="91"/>
      <c r="J76" s="97"/>
      <c r="K76" s="79"/>
      <c r="L76" s="79"/>
      <c r="M76" s="79" t="str">
        <f>Table72818224[[#This Row],[DBA]]&amp;" - "&amp;Table72818224[[#This Row],[BIN]]&amp;" - "&amp;Table72818224[[#This Row],[CAID]]</f>
        <v xml:space="preserve"> -  - </v>
      </c>
      <c r="N76" s="90"/>
    </row>
    <row r="77" spans="8:14" x14ac:dyDescent="0.25">
      <c r="H77" s="91"/>
      <c r="I77" s="91"/>
      <c r="J77" s="97"/>
      <c r="K77" s="79"/>
      <c r="L77" s="79"/>
      <c r="M77" s="79" t="str">
        <f>Table72818224[[#This Row],[DBA]]&amp;" - "&amp;Table72818224[[#This Row],[BIN]]&amp;" - "&amp;Table72818224[[#This Row],[CAID]]</f>
        <v xml:space="preserve"> -  - </v>
      </c>
      <c r="N77" s="90"/>
    </row>
    <row r="78" spans="8:14" x14ac:dyDescent="0.25">
      <c r="H78" s="91"/>
      <c r="I78" s="91"/>
      <c r="J78" s="97"/>
      <c r="K78" s="79"/>
      <c r="L78" s="79"/>
      <c r="M78" s="79" t="str">
        <f>Table72818224[[#This Row],[DBA]]&amp;" - "&amp;Table72818224[[#This Row],[BIN]]&amp;" - "&amp;Table72818224[[#This Row],[CAID]]</f>
        <v xml:space="preserve"> -  - </v>
      </c>
      <c r="N78" s="90"/>
    </row>
    <row r="79" spans="8:14" x14ac:dyDescent="0.25">
      <c r="H79" s="91"/>
      <c r="I79" s="91"/>
      <c r="J79" s="97"/>
      <c r="K79" s="79"/>
      <c r="L79" s="79"/>
      <c r="M79" s="79" t="str">
        <f>Table72818224[[#This Row],[DBA]]&amp;" - "&amp;Table72818224[[#This Row],[BIN]]&amp;" - "&amp;Table72818224[[#This Row],[CAID]]</f>
        <v xml:space="preserve"> -  - </v>
      </c>
      <c r="N79" s="90"/>
    </row>
    <row r="80" spans="8:14" x14ac:dyDescent="0.25">
      <c r="H80" s="91"/>
      <c r="I80" s="91"/>
      <c r="J80" s="97"/>
      <c r="K80" s="79"/>
      <c r="L80" s="79"/>
      <c r="M80" s="79" t="str">
        <f>Table72818224[[#This Row],[DBA]]&amp;" - "&amp;Table72818224[[#This Row],[BIN]]&amp;" - "&amp;Table72818224[[#This Row],[CAID]]</f>
        <v xml:space="preserve"> -  - </v>
      </c>
      <c r="N80" s="90"/>
    </row>
    <row r="81" spans="8:14" x14ac:dyDescent="0.25">
      <c r="H81" s="91"/>
      <c r="I81" s="91"/>
      <c r="J81" s="97"/>
      <c r="K81" s="79"/>
      <c r="L81" s="79"/>
      <c r="M81" s="79" t="str">
        <f>Table72818224[[#This Row],[DBA]]&amp;" - "&amp;Table72818224[[#This Row],[BIN]]&amp;" - "&amp;Table72818224[[#This Row],[CAID]]</f>
        <v xml:space="preserve"> -  - </v>
      </c>
      <c r="N81" s="90"/>
    </row>
    <row r="82" spans="8:14" x14ac:dyDescent="0.25">
      <c r="H82" s="91"/>
      <c r="I82" s="91"/>
      <c r="J82" s="97"/>
      <c r="K82" s="79"/>
      <c r="L82" s="79"/>
      <c r="M82" s="79" t="str">
        <f>Table72818224[[#This Row],[DBA]]&amp;" - "&amp;Table72818224[[#This Row],[BIN]]&amp;" - "&amp;Table72818224[[#This Row],[CAID]]</f>
        <v xml:space="preserve"> -  - </v>
      </c>
      <c r="N82" s="90"/>
    </row>
    <row r="83" spans="8:14" x14ac:dyDescent="0.25">
      <c r="H83" s="91"/>
      <c r="I83" s="91"/>
      <c r="J83" s="97"/>
      <c r="K83" s="79"/>
      <c r="L83" s="79"/>
      <c r="M83" s="79" t="str">
        <f>Table72818224[[#This Row],[DBA]]&amp;" - "&amp;Table72818224[[#This Row],[BIN]]&amp;" - "&amp;Table72818224[[#This Row],[CAID]]</f>
        <v xml:space="preserve"> -  - </v>
      </c>
      <c r="N83" s="90"/>
    </row>
    <row r="84" spans="8:14" x14ac:dyDescent="0.25">
      <c r="H84" s="91"/>
      <c r="I84" s="91"/>
      <c r="J84" s="97"/>
      <c r="K84" s="79"/>
      <c r="L84" s="79"/>
      <c r="M84" s="79" t="str">
        <f>Table72818224[[#This Row],[DBA]]&amp;" - "&amp;Table72818224[[#This Row],[BIN]]&amp;" - "&amp;Table72818224[[#This Row],[CAID]]</f>
        <v xml:space="preserve"> -  - </v>
      </c>
      <c r="N84" s="90"/>
    </row>
    <row r="85" spans="8:14" x14ac:dyDescent="0.25">
      <c r="H85" s="91"/>
      <c r="I85" s="91"/>
      <c r="J85" s="97"/>
      <c r="K85" s="79"/>
      <c r="L85" s="79"/>
      <c r="M85" s="79" t="str">
        <f>Table72818224[[#This Row],[DBA]]&amp;" - "&amp;Table72818224[[#This Row],[BIN]]&amp;" - "&amp;Table72818224[[#This Row],[CAID]]</f>
        <v xml:space="preserve"> -  - </v>
      </c>
      <c r="N85" s="90"/>
    </row>
    <row r="86" spans="8:14" x14ac:dyDescent="0.25">
      <c r="H86" s="91"/>
      <c r="I86" s="91"/>
      <c r="J86" s="97"/>
      <c r="K86" s="79"/>
      <c r="L86" s="79"/>
      <c r="M86" s="79" t="str">
        <f>Table72818224[[#This Row],[DBA]]&amp;" - "&amp;Table72818224[[#This Row],[BIN]]&amp;" - "&amp;Table72818224[[#This Row],[CAID]]</f>
        <v xml:space="preserve"> -  - </v>
      </c>
      <c r="N86" s="90"/>
    </row>
    <row r="87" spans="8:14" x14ac:dyDescent="0.25">
      <c r="H87" s="91"/>
      <c r="I87" s="91"/>
      <c r="J87" s="97"/>
      <c r="K87" s="79"/>
      <c r="L87" s="79"/>
      <c r="M87" s="79" t="str">
        <f>Table72818224[[#This Row],[DBA]]&amp;" - "&amp;Table72818224[[#This Row],[BIN]]&amp;" - "&amp;Table72818224[[#This Row],[CAID]]</f>
        <v xml:space="preserve"> -  - </v>
      </c>
      <c r="N87" s="90"/>
    </row>
    <row r="88" spans="8:14" x14ac:dyDescent="0.25">
      <c r="H88" s="91"/>
      <c r="I88" s="91"/>
      <c r="J88" s="97"/>
      <c r="K88" s="79"/>
      <c r="L88" s="79"/>
      <c r="M88" s="79" t="str">
        <f>Table72818224[[#This Row],[DBA]]&amp;" - "&amp;Table72818224[[#This Row],[BIN]]&amp;" - "&amp;Table72818224[[#This Row],[CAID]]</f>
        <v xml:space="preserve"> -  - </v>
      </c>
      <c r="N88" s="90"/>
    </row>
    <row r="89" spans="8:14" x14ac:dyDescent="0.25">
      <c r="H89" s="91"/>
      <c r="I89" s="91"/>
      <c r="J89" s="97"/>
      <c r="K89" s="79"/>
      <c r="L89" s="79"/>
      <c r="M89" s="79" t="str">
        <f>Table72818224[[#This Row],[DBA]]&amp;" - "&amp;Table72818224[[#This Row],[BIN]]&amp;" - "&amp;Table72818224[[#This Row],[CAID]]</f>
        <v xml:space="preserve"> -  - </v>
      </c>
      <c r="N89" s="90"/>
    </row>
    <row r="90" spans="8:14" x14ac:dyDescent="0.25">
      <c r="H90" s="91"/>
      <c r="I90" s="91"/>
      <c r="J90" s="97"/>
      <c r="K90" s="79"/>
      <c r="L90" s="79"/>
      <c r="M90" s="79" t="str">
        <f>Table72818224[[#This Row],[DBA]]&amp;" - "&amp;Table72818224[[#This Row],[BIN]]&amp;" - "&amp;Table72818224[[#This Row],[CAID]]</f>
        <v xml:space="preserve"> -  - </v>
      </c>
      <c r="N90" s="90"/>
    </row>
    <row r="91" spans="8:14" x14ac:dyDescent="0.25">
      <c r="H91" s="91"/>
      <c r="I91" s="91"/>
      <c r="J91" s="97"/>
      <c r="K91" s="79"/>
      <c r="L91" s="79"/>
      <c r="M91" s="79" t="str">
        <f>Table72818224[[#This Row],[DBA]]&amp;" - "&amp;Table72818224[[#This Row],[BIN]]&amp;" - "&amp;Table72818224[[#This Row],[CAID]]</f>
        <v xml:space="preserve"> -  - </v>
      </c>
      <c r="N91" s="90"/>
    </row>
    <row r="92" spans="8:14" x14ac:dyDescent="0.25">
      <c r="H92" s="91"/>
      <c r="I92" s="91"/>
      <c r="J92" s="97"/>
      <c r="K92" s="79"/>
      <c r="L92" s="79"/>
      <c r="M92" s="79" t="str">
        <f>Table72818224[[#This Row],[DBA]]&amp;" - "&amp;Table72818224[[#This Row],[BIN]]&amp;" - "&amp;Table72818224[[#This Row],[CAID]]</f>
        <v xml:space="preserve"> -  - </v>
      </c>
      <c r="N92" s="90"/>
    </row>
    <row r="93" spans="8:14" x14ac:dyDescent="0.25">
      <c r="H93" s="91"/>
      <c r="I93" s="91"/>
      <c r="J93" s="97"/>
      <c r="K93" s="79"/>
      <c r="L93" s="79"/>
      <c r="M93" s="79" t="str">
        <f>Table72818224[[#This Row],[DBA]]&amp;" - "&amp;Table72818224[[#This Row],[BIN]]&amp;" - "&amp;Table72818224[[#This Row],[CAID]]</f>
        <v xml:space="preserve"> -  - </v>
      </c>
      <c r="N93" s="90"/>
    </row>
    <row r="94" spans="8:14" x14ac:dyDescent="0.25">
      <c r="H94" s="91"/>
      <c r="I94" s="91"/>
      <c r="J94" s="97"/>
      <c r="K94" s="79"/>
      <c r="L94" s="79"/>
      <c r="M94" s="79" t="str">
        <f>Table72818224[[#This Row],[DBA]]&amp;" - "&amp;Table72818224[[#This Row],[BIN]]&amp;" - "&amp;Table72818224[[#This Row],[CAID]]</f>
        <v xml:space="preserve"> -  - </v>
      </c>
      <c r="N94" s="90"/>
    </row>
    <row r="95" spans="8:14" x14ac:dyDescent="0.25">
      <c r="H95" s="91"/>
      <c r="I95" s="91"/>
      <c r="J95" s="97"/>
      <c r="K95" s="79"/>
      <c r="L95" s="79"/>
      <c r="M95" s="79" t="str">
        <f>Table72818224[[#This Row],[DBA]]&amp;" - "&amp;Table72818224[[#This Row],[BIN]]&amp;" - "&amp;Table72818224[[#This Row],[CAID]]</f>
        <v xml:space="preserve"> -  - </v>
      </c>
      <c r="N95" s="90"/>
    </row>
    <row r="96" spans="8:14" x14ac:dyDescent="0.25">
      <c r="H96" s="91"/>
      <c r="I96" s="91"/>
      <c r="J96" s="97"/>
      <c r="K96" s="79"/>
      <c r="L96" s="79"/>
      <c r="M96" s="79" t="str">
        <f>Table72818224[[#This Row],[DBA]]&amp;" - "&amp;Table72818224[[#This Row],[BIN]]&amp;" - "&amp;Table72818224[[#This Row],[CAID]]</f>
        <v xml:space="preserve"> -  - </v>
      </c>
      <c r="N96" s="90"/>
    </row>
    <row r="97" spans="8:14" x14ac:dyDescent="0.25">
      <c r="H97" s="91"/>
      <c r="I97" s="91"/>
      <c r="J97" s="97"/>
      <c r="K97" s="79"/>
      <c r="L97" s="79"/>
      <c r="M97" s="79" t="str">
        <f>Table72818224[[#This Row],[DBA]]&amp;" - "&amp;Table72818224[[#This Row],[BIN]]&amp;" - "&amp;Table72818224[[#This Row],[CAID]]</f>
        <v xml:space="preserve"> -  - </v>
      </c>
      <c r="N97" s="90"/>
    </row>
    <row r="98" spans="8:14" x14ac:dyDescent="0.25">
      <c r="H98" s="91"/>
      <c r="I98" s="91"/>
      <c r="J98" s="97"/>
      <c r="K98" s="79"/>
      <c r="L98" s="79"/>
      <c r="M98" s="79" t="str">
        <f>Table72818224[[#This Row],[DBA]]&amp;" - "&amp;Table72818224[[#This Row],[BIN]]&amp;" - "&amp;Table72818224[[#This Row],[CAID]]</f>
        <v xml:space="preserve"> -  - </v>
      </c>
      <c r="N98" s="90"/>
    </row>
    <row r="99" spans="8:14" x14ac:dyDescent="0.25">
      <c r="H99" s="91"/>
      <c r="I99" s="91"/>
      <c r="J99" s="97"/>
      <c r="K99" s="79"/>
      <c r="L99" s="79"/>
      <c r="M99" s="79" t="str">
        <f>Table72818224[[#This Row],[DBA]]&amp;" - "&amp;Table72818224[[#This Row],[BIN]]&amp;" - "&amp;Table72818224[[#This Row],[CAID]]</f>
        <v xml:space="preserve"> -  - </v>
      </c>
      <c r="N99" s="90"/>
    </row>
    <row r="100" spans="8:14" x14ac:dyDescent="0.25">
      <c r="H100" s="91"/>
      <c r="I100" s="91"/>
      <c r="J100" s="97"/>
      <c r="K100" s="79"/>
      <c r="L100" s="79"/>
      <c r="M100" s="79" t="str">
        <f>Table72818224[[#This Row],[DBA]]&amp;" - "&amp;Table72818224[[#This Row],[BIN]]&amp;" - "&amp;Table72818224[[#This Row],[CAID]]</f>
        <v xml:space="preserve"> -  - </v>
      </c>
      <c r="N100" s="90"/>
    </row>
    <row r="101" spans="8:14" x14ac:dyDescent="0.25">
      <c r="H101" s="91"/>
      <c r="I101" s="91"/>
      <c r="J101" s="97"/>
      <c r="K101" s="79"/>
      <c r="L101" s="79"/>
      <c r="M101" s="79" t="str">
        <f>Table72818224[[#This Row],[DBA]]&amp;" - "&amp;Table72818224[[#This Row],[BIN]]&amp;" - "&amp;Table72818224[[#This Row],[CAID]]</f>
        <v xml:space="preserve"> -  - </v>
      </c>
      <c r="N101" s="90"/>
    </row>
    <row r="102" spans="8:14" x14ac:dyDescent="0.25">
      <c r="H102" s="91"/>
      <c r="I102" s="91"/>
      <c r="J102" s="97"/>
      <c r="K102" s="79"/>
      <c r="L102" s="79"/>
      <c r="M102" s="79" t="str">
        <f>Table72818224[[#This Row],[DBA]]&amp;" - "&amp;Table72818224[[#This Row],[BIN]]&amp;" - "&amp;Table72818224[[#This Row],[CAID]]</f>
        <v xml:space="preserve"> -  - </v>
      </c>
      <c r="N102" s="90"/>
    </row>
    <row r="103" spans="8:14" x14ac:dyDescent="0.25">
      <c r="H103" s="91"/>
      <c r="I103" s="91"/>
      <c r="J103" s="97"/>
      <c r="K103" s="79"/>
      <c r="L103" s="79"/>
      <c r="M103" s="79" t="str">
        <f>Table72818224[[#This Row],[DBA]]&amp;" - "&amp;Table72818224[[#This Row],[BIN]]&amp;" - "&amp;Table72818224[[#This Row],[CAID]]</f>
        <v xml:space="preserve"> -  - </v>
      </c>
      <c r="N103" s="90"/>
    </row>
    <row r="104" spans="8:14" x14ac:dyDescent="0.25">
      <c r="H104" s="91"/>
      <c r="I104" s="91"/>
      <c r="J104" s="97"/>
      <c r="K104" s="79"/>
      <c r="L104" s="79"/>
      <c r="M104" s="79" t="str">
        <f>Table72818224[[#This Row],[DBA]]&amp;" - "&amp;Table72818224[[#This Row],[BIN]]&amp;" - "&amp;Table72818224[[#This Row],[CAID]]</f>
        <v xml:space="preserve"> -  - </v>
      </c>
      <c r="N104" s="90"/>
    </row>
    <row r="105" spans="8:14" x14ac:dyDescent="0.25">
      <c r="H105" s="91"/>
      <c r="I105" s="91"/>
      <c r="J105" s="97"/>
      <c r="K105" s="79"/>
      <c r="L105" s="79"/>
      <c r="M105" s="79" t="str">
        <f>Table72818224[[#This Row],[DBA]]&amp;" - "&amp;Table72818224[[#This Row],[BIN]]&amp;" - "&amp;Table72818224[[#This Row],[CAID]]</f>
        <v xml:space="preserve"> -  - </v>
      </c>
      <c r="N105" s="90"/>
    </row>
    <row r="106" spans="8:14" x14ac:dyDescent="0.25">
      <c r="H106" s="91"/>
      <c r="I106" s="91"/>
      <c r="J106" s="97"/>
      <c r="K106" s="79"/>
      <c r="L106" s="79"/>
      <c r="M106" s="79" t="str">
        <f>Table72818224[[#This Row],[DBA]]&amp;" - "&amp;Table72818224[[#This Row],[BIN]]&amp;" - "&amp;Table72818224[[#This Row],[CAID]]</f>
        <v xml:space="preserve"> -  - </v>
      </c>
      <c r="N106" s="90"/>
    </row>
    <row r="107" spans="8:14" x14ac:dyDescent="0.25">
      <c r="H107" s="91"/>
      <c r="I107" s="91"/>
      <c r="J107" s="97"/>
      <c r="K107" s="79"/>
      <c r="L107" s="79"/>
      <c r="M107" s="79" t="str">
        <f>Table72818224[[#This Row],[DBA]]&amp;" - "&amp;Table72818224[[#This Row],[BIN]]&amp;" - "&amp;Table72818224[[#This Row],[CAID]]</f>
        <v xml:space="preserve"> -  - </v>
      </c>
      <c r="N107" s="90"/>
    </row>
    <row r="108" spans="8:14" x14ac:dyDescent="0.25">
      <c r="H108" s="91"/>
      <c r="I108" s="91"/>
      <c r="J108" s="97"/>
      <c r="K108" s="79"/>
      <c r="L108" s="79"/>
      <c r="M108" s="79" t="str">
        <f>Table72818224[[#This Row],[DBA]]&amp;" - "&amp;Table72818224[[#This Row],[BIN]]&amp;" - "&amp;Table72818224[[#This Row],[CAID]]</f>
        <v xml:space="preserve"> -  - </v>
      </c>
      <c r="N108" s="90"/>
    </row>
    <row r="109" spans="8:14" x14ac:dyDescent="0.25">
      <c r="H109" s="91"/>
      <c r="I109" s="91"/>
      <c r="J109" s="97"/>
      <c r="K109" s="79"/>
      <c r="L109" s="79"/>
      <c r="M109" s="79" t="str">
        <f>Table72818224[[#This Row],[DBA]]&amp;" - "&amp;Table72818224[[#This Row],[BIN]]&amp;" - "&amp;Table72818224[[#This Row],[CAID]]</f>
        <v xml:space="preserve"> -  - </v>
      </c>
      <c r="N109" s="90"/>
    </row>
    <row r="110" spans="8:14" x14ac:dyDescent="0.25">
      <c r="H110" s="91"/>
      <c r="I110" s="91"/>
      <c r="J110" s="97"/>
      <c r="K110" s="79"/>
      <c r="L110" s="79"/>
      <c r="M110" s="79" t="str">
        <f>Table72818224[[#This Row],[DBA]]&amp;" - "&amp;Table72818224[[#This Row],[BIN]]&amp;" - "&amp;Table72818224[[#This Row],[CAID]]</f>
        <v xml:space="preserve"> -  - </v>
      </c>
      <c r="N110" s="90"/>
    </row>
    <row r="111" spans="8:14" x14ac:dyDescent="0.25">
      <c r="H111" s="91"/>
      <c r="I111" s="91"/>
      <c r="J111" s="97"/>
      <c r="K111" s="79"/>
      <c r="L111" s="79"/>
      <c r="M111" s="79" t="str">
        <f>Table72818224[[#This Row],[DBA]]&amp;" - "&amp;Table72818224[[#This Row],[BIN]]&amp;" - "&amp;Table72818224[[#This Row],[CAID]]</f>
        <v xml:space="preserve"> -  - </v>
      </c>
      <c r="N111" s="90"/>
    </row>
    <row r="112" spans="8:14" x14ac:dyDescent="0.25">
      <c r="H112" s="91"/>
      <c r="I112" s="91"/>
      <c r="J112" s="97"/>
      <c r="K112" s="79"/>
      <c r="L112" s="79"/>
      <c r="M112" s="79" t="str">
        <f>Table72818224[[#This Row],[DBA]]&amp;" - "&amp;Table72818224[[#This Row],[BIN]]&amp;" - "&amp;Table72818224[[#This Row],[CAID]]</f>
        <v xml:space="preserve"> -  - </v>
      </c>
      <c r="N112" s="90"/>
    </row>
    <row r="113" spans="8:14" x14ac:dyDescent="0.25">
      <c r="H113" s="91"/>
      <c r="I113" s="91"/>
      <c r="J113" s="97"/>
      <c r="K113" s="79"/>
      <c r="L113" s="79"/>
      <c r="M113" s="79" t="str">
        <f>Table72818224[[#This Row],[DBA]]&amp;" - "&amp;Table72818224[[#This Row],[BIN]]&amp;" - "&amp;Table72818224[[#This Row],[CAID]]</f>
        <v xml:space="preserve"> -  - </v>
      </c>
      <c r="N113" s="90"/>
    </row>
    <row r="114" spans="8:14" x14ac:dyDescent="0.25">
      <c r="H114" s="91"/>
      <c r="I114" s="91"/>
      <c r="J114" s="97"/>
      <c r="K114" s="79"/>
      <c r="L114" s="79"/>
      <c r="M114" s="79" t="str">
        <f>Table72818224[[#This Row],[DBA]]&amp;" - "&amp;Table72818224[[#This Row],[BIN]]&amp;" - "&amp;Table72818224[[#This Row],[CAID]]</f>
        <v xml:space="preserve"> -  - </v>
      </c>
      <c r="N114" s="90"/>
    </row>
    <row r="115" spans="8:14" x14ac:dyDescent="0.25">
      <c r="H115" s="91"/>
      <c r="I115" s="91"/>
      <c r="J115" s="97"/>
      <c r="K115" s="79"/>
      <c r="L115" s="79"/>
      <c r="M115" s="79" t="str">
        <f>Table72818224[[#This Row],[DBA]]&amp;" - "&amp;Table72818224[[#This Row],[BIN]]&amp;" - "&amp;Table72818224[[#This Row],[CAID]]</f>
        <v xml:space="preserve"> -  - </v>
      </c>
      <c r="N115" s="90"/>
    </row>
    <row r="116" spans="8:14" x14ac:dyDescent="0.25">
      <c r="H116" s="91"/>
      <c r="I116" s="91"/>
      <c r="J116" s="97"/>
      <c r="K116" s="79"/>
      <c r="L116" s="79"/>
      <c r="M116" s="79" t="str">
        <f>Table72818224[[#This Row],[DBA]]&amp;" - "&amp;Table72818224[[#This Row],[BIN]]&amp;" - "&amp;Table72818224[[#This Row],[CAID]]</f>
        <v xml:space="preserve"> -  - </v>
      </c>
      <c r="N116" s="90"/>
    </row>
    <row r="117" spans="8:14" x14ac:dyDescent="0.25">
      <c r="H117" s="91"/>
      <c r="I117" s="91"/>
      <c r="J117" s="97"/>
      <c r="K117" s="79"/>
      <c r="L117" s="79"/>
      <c r="M117" s="79" t="str">
        <f>Table72818224[[#This Row],[DBA]]&amp;" - "&amp;Table72818224[[#This Row],[BIN]]&amp;" - "&amp;Table72818224[[#This Row],[CAID]]</f>
        <v xml:space="preserve"> -  - </v>
      </c>
      <c r="N117" s="90"/>
    </row>
    <row r="118" spans="8:14" x14ac:dyDescent="0.25">
      <c r="H118" s="91"/>
      <c r="I118" s="91"/>
      <c r="J118" s="97"/>
      <c r="K118" s="79"/>
      <c r="L118" s="79"/>
      <c r="M118" s="79" t="str">
        <f>Table72818224[[#This Row],[DBA]]&amp;" - "&amp;Table72818224[[#This Row],[BIN]]&amp;" - "&amp;Table72818224[[#This Row],[CAID]]</f>
        <v xml:space="preserve"> -  - </v>
      </c>
      <c r="N118" s="90"/>
    </row>
    <row r="119" spans="8:14" x14ac:dyDescent="0.25">
      <c r="H119" s="91"/>
      <c r="I119" s="91"/>
      <c r="J119" s="97"/>
      <c r="K119" s="79"/>
      <c r="L119" s="79"/>
      <c r="M119" s="79" t="str">
        <f>Table72818224[[#This Row],[DBA]]&amp;" - "&amp;Table72818224[[#This Row],[BIN]]&amp;" - "&amp;Table72818224[[#This Row],[CAID]]</f>
        <v xml:space="preserve"> -  - </v>
      </c>
      <c r="N119" s="90"/>
    </row>
    <row r="120" spans="8:14" x14ac:dyDescent="0.25">
      <c r="H120" s="91"/>
      <c r="I120" s="91"/>
      <c r="J120" s="97"/>
      <c r="K120" s="79"/>
      <c r="L120" s="79"/>
      <c r="M120" s="79" t="str">
        <f>Table72818224[[#This Row],[DBA]]&amp;" - "&amp;Table72818224[[#This Row],[BIN]]&amp;" - "&amp;Table72818224[[#This Row],[CAID]]</f>
        <v xml:space="preserve"> -  - </v>
      </c>
      <c r="N120" s="90"/>
    </row>
    <row r="121" spans="8:14" x14ac:dyDescent="0.25">
      <c r="H121" s="91"/>
      <c r="I121" s="91"/>
      <c r="J121" s="97"/>
      <c r="K121" s="79"/>
      <c r="L121" s="79"/>
      <c r="M121" s="79" t="str">
        <f>Table72818224[[#This Row],[DBA]]&amp;" - "&amp;Table72818224[[#This Row],[BIN]]&amp;" - "&amp;Table72818224[[#This Row],[CAID]]</f>
        <v xml:space="preserve"> -  - </v>
      </c>
      <c r="N121" s="90"/>
    </row>
    <row r="122" spans="8:14" x14ac:dyDescent="0.25">
      <c r="H122" s="91"/>
      <c r="I122" s="91"/>
      <c r="J122" s="97"/>
      <c r="K122" s="79"/>
      <c r="L122" s="79"/>
      <c r="M122" s="79" t="str">
        <f>Table72818224[[#This Row],[DBA]]&amp;" - "&amp;Table72818224[[#This Row],[BIN]]&amp;" - "&amp;Table72818224[[#This Row],[CAID]]</f>
        <v xml:space="preserve"> -  - </v>
      </c>
      <c r="N122" s="90"/>
    </row>
    <row r="123" spans="8:14" x14ac:dyDescent="0.25">
      <c r="H123" s="91"/>
      <c r="I123" s="91"/>
      <c r="J123" s="97"/>
      <c r="K123" s="79"/>
      <c r="L123" s="79"/>
      <c r="M123" s="79" t="str">
        <f>Table72818224[[#This Row],[DBA]]&amp;" - "&amp;Table72818224[[#This Row],[BIN]]&amp;" - "&amp;Table72818224[[#This Row],[CAID]]</f>
        <v xml:space="preserve"> -  - </v>
      </c>
      <c r="N123" s="90"/>
    </row>
    <row r="124" spans="8:14" x14ac:dyDescent="0.25">
      <c r="H124" s="91"/>
      <c r="I124" s="91"/>
      <c r="J124" s="97"/>
      <c r="K124" s="79"/>
      <c r="L124" s="79"/>
      <c r="M124" s="79" t="str">
        <f>Table72818224[[#This Row],[DBA]]&amp;" - "&amp;Table72818224[[#This Row],[BIN]]&amp;" - "&amp;Table72818224[[#This Row],[CAID]]</f>
        <v xml:space="preserve"> -  - </v>
      </c>
      <c r="N124" s="90"/>
    </row>
    <row r="125" spans="8:14" x14ac:dyDescent="0.25">
      <c r="H125" s="91"/>
      <c r="I125" s="91"/>
      <c r="J125" s="97"/>
      <c r="K125" s="79"/>
      <c r="L125" s="79"/>
      <c r="M125" s="79" t="str">
        <f>Table72818224[[#This Row],[DBA]]&amp;" - "&amp;Table72818224[[#This Row],[BIN]]&amp;" - "&amp;Table72818224[[#This Row],[CAID]]</f>
        <v xml:space="preserve"> -  - </v>
      </c>
      <c r="N125" s="90"/>
    </row>
    <row r="126" spans="8:14" x14ac:dyDescent="0.25">
      <c r="H126" s="91"/>
      <c r="I126" s="91"/>
      <c r="J126" s="97"/>
      <c r="K126" s="79"/>
      <c r="L126" s="79"/>
      <c r="M126" s="79" t="str">
        <f>Table72818224[[#This Row],[DBA]]&amp;" - "&amp;Table72818224[[#This Row],[BIN]]&amp;" - "&amp;Table72818224[[#This Row],[CAID]]</f>
        <v xml:space="preserve"> -  - </v>
      </c>
      <c r="N126" s="90"/>
    </row>
    <row r="127" spans="8:14" x14ac:dyDescent="0.25">
      <c r="H127" s="91"/>
      <c r="I127" s="91"/>
      <c r="J127" s="97"/>
      <c r="K127" s="79"/>
      <c r="L127" s="79"/>
      <c r="M127" s="79" t="str">
        <f>Table72818224[[#This Row],[DBA]]&amp;" - "&amp;Table72818224[[#This Row],[BIN]]&amp;" - "&amp;Table72818224[[#This Row],[CAID]]</f>
        <v xml:space="preserve"> -  - </v>
      </c>
      <c r="N127" s="90"/>
    </row>
    <row r="128" spans="8:14" x14ac:dyDescent="0.25">
      <c r="H128" s="91"/>
      <c r="I128" s="91"/>
      <c r="J128" s="97"/>
      <c r="K128" s="79"/>
      <c r="L128" s="79"/>
      <c r="M128" s="79" t="str">
        <f>Table72818224[[#This Row],[DBA]]&amp;" - "&amp;Table72818224[[#This Row],[BIN]]&amp;" - "&amp;Table72818224[[#This Row],[CAID]]</f>
        <v xml:space="preserve"> -  - </v>
      </c>
      <c r="N128" s="90"/>
    </row>
    <row r="129" spans="8:14" x14ac:dyDescent="0.25">
      <c r="H129" s="91"/>
      <c r="I129" s="91"/>
      <c r="J129" s="97"/>
      <c r="K129" s="79"/>
      <c r="L129" s="79"/>
      <c r="M129" s="79" t="str">
        <f>Table72818224[[#This Row],[DBA]]&amp;" - "&amp;Table72818224[[#This Row],[BIN]]&amp;" - "&amp;Table72818224[[#This Row],[CAID]]</f>
        <v xml:space="preserve"> -  - </v>
      </c>
      <c r="N129" s="90"/>
    </row>
    <row r="130" spans="8:14" x14ac:dyDescent="0.25">
      <c r="H130" s="91"/>
      <c r="I130" s="91"/>
      <c r="J130" s="97"/>
      <c r="K130" s="79"/>
      <c r="L130" s="79"/>
      <c r="M130" s="79" t="str">
        <f>Table72818224[[#This Row],[DBA]]&amp;" - "&amp;Table72818224[[#This Row],[BIN]]&amp;" - "&amp;Table72818224[[#This Row],[CAID]]</f>
        <v xml:space="preserve"> -  - </v>
      </c>
      <c r="N130" s="90"/>
    </row>
    <row r="131" spans="8:14" x14ac:dyDescent="0.25">
      <c r="H131" s="91"/>
      <c r="I131" s="91"/>
      <c r="J131" s="97"/>
      <c r="K131" s="79"/>
      <c r="L131" s="79"/>
      <c r="M131" s="79" t="str">
        <f>Table72818224[[#This Row],[DBA]]&amp;" - "&amp;Table72818224[[#This Row],[BIN]]&amp;" - "&amp;Table72818224[[#This Row],[CAID]]</f>
        <v xml:space="preserve"> -  - </v>
      </c>
      <c r="N131" s="90"/>
    </row>
    <row r="132" spans="8:14" x14ac:dyDescent="0.25">
      <c r="H132" s="91"/>
      <c r="I132" s="91"/>
      <c r="J132" s="97"/>
      <c r="K132" s="79"/>
      <c r="L132" s="79"/>
      <c r="M132" s="79" t="str">
        <f>Table72818224[[#This Row],[DBA]]&amp;" - "&amp;Table72818224[[#This Row],[BIN]]&amp;" - "&amp;Table72818224[[#This Row],[CAID]]</f>
        <v xml:space="preserve"> -  - </v>
      </c>
      <c r="N132" s="90"/>
    </row>
    <row r="133" spans="8:14" x14ac:dyDescent="0.25">
      <c r="H133" s="91"/>
      <c r="I133" s="91"/>
      <c r="J133" s="97"/>
      <c r="K133" s="79"/>
      <c r="L133" s="79"/>
      <c r="M133" s="79" t="str">
        <f>Table72818224[[#This Row],[DBA]]&amp;" - "&amp;Table72818224[[#This Row],[BIN]]&amp;" - "&amp;Table72818224[[#This Row],[CAID]]</f>
        <v xml:space="preserve"> -  - </v>
      </c>
      <c r="N133" s="90"/>
    </row>
    <row r="134" spans="8:14" x14ac:dyDescent="0.25">
      <c r="H134" s="91"/>
      <c r="I134" s="91"/>
      <c r="J134" s="97"/>
      <c r="K134" s="79"/>
      <c r="L134" s="79"/>
      <c r="M134" s="79" t="str">
        <f>Table72818224[[#This Row],[DBA]]&amp;" - "&amp;Table72818224[[#This Row],[BIN]]&amp;" - "&amp;Table72818224[[#This Row],[CAID]]</f>
        <v xml:space="preserve"> -  - </v>
      </c>
      <c r="N134" s="90"/>
    </row>
    <row r="135" spans="8:14" x14ac:dyDescent="0.25">
      <c r="H135" s="91"/>
      <c r="I135" s="91"/>
      <c r="J135" s="97"/>
      <c r="K135" s="79"/>
      <c r="L135" s="79"/>
      <c r="M135" s="79" t="str">
        <f>Table72818224[[#This Row],[DBA]]&amp;" - "&amp;Table72818224[[#This Row],[BIN]]&amp;" - "&amp;Table72818224[[#This Row],[CAID]]</f>
        <v xml:space="preserve"> -  - </v>
      </c>
      <c r="N135" s="90"/>
    </row>
    <row r="136" spans="8:14" x14ac:dyDescent="0.25">
      <c r="H136" s="91"/>
      <c r="I136" s="91"/>
      <c r="J136" s="97"/>
      <c r="K136" s="79"/>
      <c r="L136" s="79"/>
      <c r="M136" s="79" t="str">
        <f>Table72818224[[#This Row],[DBA]]&amp;" - "&amp;Table72818224[[#This Row],[BIN]]&amp;" - "&amp;Table72818224[[#This Row],[CAID]]</f>
        <v xml:space="preserve"> -  - </v>
      </c>
      <c r="N136" s="90"/>
    </row>
    <row r="137" spans="8:14" x14ac:dyDescent="0.25">
      <c r="H137" s="91"/>
      <c r="I137" s="91"/>
      <c r="J137" s="97"/>
      <c r="K137" s="79"/>
      <c r="L137" s="79"/>
      <c r="M137" s="79" t="str">
        <f>Table72818224[[#This Row],[DBA]]&amp;" - "&amp;Table72818224[[#This Row],[BIN]]&amp;" - "&amp;Table72818224[[#This Row],[CAID]]</f>
        <v xml:space="preserve"> -  - </v>
      </c>
      <c r="N137" s="90"/>
    </row>
    <row r="138" spans="8:14" x14ac:dyDescent="0.25">
      <c r="H138" s="91"/>
      <c r="I138" s="91"/>
      <c r="J138" s="97"/>
      <c r="K138" s="79"/>
      <c r="L138" s="79"/>
      <c r="M138" s="79" t="str">
        <f>Table72818224[[#This Row],[DBA]]&amp;" - "&amp;Table72818224[[#This Row],[BIN]]&amp;" - "&amp;Table72818224[[#This Row],[CAID]]</f>
        <v xml:space="preserve"> -  - </v>
      </c>
      <c r="N138" s="90"/>
    </row>
    <row r="139" spans="8:14" x14ac:dyDescent="0.25">
      <c r="H139" s="91"/>
      <c r="I139" s="91"/>
      <c r="J139" s="97"/>
      <c r="K139" s="79"/>
      <c r="L139" s="79"/>
      <c r="M139" s="79" t="str">
        <f>Table72818224[[#This Row],[DBA]]&amp;" - "&amp;Table72818224[[#This Row],[BIN]]&amp;" - "&amp;Table72818224[[#This Row],[CAID]]</f>
        <v xml:space="preserve"> -  - </v>
      </c>
      <c r="N139" s="90"/>
    </row>
    <row r="140" spans="8:14" x14ac:dyDescent="0.25">
      <c r="H140" s="91"/>
      <c r="I140" s="91"/>
      <c r="J140" s="97"/>
      <c r="K140" s="79"/>
      <c r="L140" s="79"/>
      <c r="M140" s="79" t="str">
        <f>Table72818224[[#This Row],[DBA]]&amp;" - "&amp;Table72818224[[#This Row],[BIN]]&amp;" - "&amp;Table72818224[[#This Row],[CAID]]</f>
        <v xml:space="preserve"> -  - </v>
      </c>
      <c r="N140" s="90"/>
    </row>
    <row r="141" spans="8:14" x14ac:dyDescent="0.25">
      <c r="H141" s="91"/>
      <c r="I141" s="91"/>
      <c r="J141" s="97"/>
      <c r="K141" s="79"/>
      <c r="L141" s="79"/>
      <c r="M141" s="79" t="str">
        <f>Table72818224[[#This Row],[DBA]]&amp;" - "&amp;Table72818224[[#This Row],[BIN]]&amp;" - "&amp;Table72818224[[#This Row],[CAID]]</f>
        <v xml:space="preserve"> -  - </v>
      </c>
      <c r="N141" s="90"/>
    </row>
    <row r="142" spans="8:14" x14ac:dyDescent="0.25">
      <c r="H142" s="91"/>
      <c r="I142" s="91"/>
      <c r="J142" s="97"/>
      <c r="K142" s="79"/>
      <c r="L142" s="79"/>
      <c r="M142" s="79" t="str">
        <f>Table72818224[[#This Row],[DBA]]&amp;" - "&amp;Table72818224[[#This Row],[BIN]]&amp;" - "&amp;Table72818224[[#This Row],[CAID]]</f>
        <v xml:space="preserve"> -  - </v>
      </c>
      <c r="N142" s="90"/>
    </row>
    <row r="143" spans="8:14" x14ac:dyDescent="0.25">
      <c r="H143" s="91"/>
      <c r="I143" s="91"/>
      <c r="J143" s="97"/>
      <c r="K143" s="79"/>
      <c r="L143" s="79"/>
      <c r="M143" s="79" t="str">
        <f>Table72818224[[#This Row],[DBA]]&amp;" - "&amp;Table72818224[[#This Row],[BIN]]&amp;" - "&amp;Table72818224[[#This Row],[CAID]]</f>
        <v xml:space="preserve"> -  - </v>
      </c>
      <c r="N143" s="90"/>
    </row>
    <row r="144" spans="8:14" x14ac:dyDescent="0.25">
      <c r="H144" s="91"/>
      <c r="I144" s="91"/>
      <c r="J144" s="97"/>
      <c r="K144" s="79"/>
      <c r="L144" s="79"/>
      <c r="M144" s="79" t="str">
        <f>Table72818224[[#This Row],[DBA]]&amp;" - "&amp;Table72818224[[#This Row],[BIN]]&amp;" - "&amp;Table72818224[[#This Row],[CAID]]</f>
        <v xml:space="preserve"> -  - </v>
      </c>
      <c r="N144" s="90"/>
    </row>
    <row r="145" spans="8:14" x14ac:dyDescent="0.25">
      <c r="H145" s="91"/>
      <c r="I145" s="91"/>
      <c r="J145" s="97"/>
      <c r="K145" s="79"/>
      <c r="L145" s="79"/>
      <c r="M145" s="79" t="str">
        <f>Table72818224[[#This Row],[DBA]]&amp;" - "&amp;Table72818224[[#This Row],[BIN]]&amp;" - "&amp;Table72818224[[#This Row],[CAID]]</f>
        <v xml:space="preserve"> -  - </v>
      </c>
      <c r="N145" s="90"/>
    </row>
    <row r="146" spans="8:14" x14ac:dyDescent="0.25">
      <c r="H146" s="91"/>
      <c r="I146" s="91"/>
      <c r="J146" s="97"/>
      <c r="K146" s="79"/>
      <c r="L146" s="79"/>
      <c r="M146" s="79" t="str">
        <f>Table72818224[[#This Row],[DBA]]&amp;" - "&amp;Table72818224[[#This Row],[BIN]]&amp;" - "&amp;Table72818224[[#This Row],[CAID]]</f>
        <v xml:space="preserve"> -  - </v>
      </c>
      <c r="N146" s="90"/>
    </row>
    <row r="147" spans="8:14" x14ac:dyDescent="0.25">
      <c r="H147" s="91"/>
      <c r="I147" s="91"/>
      <c r="J147" s="97"/>
      <c r="K147" s="79"/>
      <c r="L147" s="79"/>
      <c r="M147" s="79" t="str">
        <f>Table72818224[[#This Row],[DBA]]&amp;" - "&amp;Table72818224[[#This Row],[BIN]]&amp;" - "&amp;Table72818224[[#This Row],[CAID]]</f>
        <v xml:space="preserve"> -  - </v>
      </c>
      <c r="N147" s="90"/>
    </row>
    <row r="148" spans="8:14" x14ac:dyDescent="0.25">
      <c r="H148" s="91"/>
      <c r="I148" s="91"/>
      <c r="J148" s="97"/>
      <c r="K148" s="79"/>
      <c r="L148" s="79"/>
      <c r="M148" s="79" t="str">
        <f>Table72818224[[#This Row],[DBA]]&amp;" - "&amp;Table72818224[[#This Row],[BIN]]&amp;" - "&amp;Table72818224[[#This Row],[CAID]]</f>
        <v xml:space="preserve"> -  - </v>
      </c>
      <c r="N148" s="90"/>
    </row>
    <row r="149" spans="8:14" x14ac:dyDescent="0.25">
      <c r="H149" s="91"/>
      <c r="I149" s="91"/>
      <c r="J149" s="97"/>
      <c r="K149" s="79"/>
      <c r="L149" s="79"/>
      <c r="M149" s="79" t="str">
        <f>Table72818224[[#This Row],[DBA]]&amp;" - "&amp;Table72818224[[#This Row],[BIN]]&amp;" - "&amp;Table72818224[[#This Row],[CAID]]</f>
        <v xml:space="preserve"> -  - </v>
      </c>
      <c r="N149" s="90"/>
    </row>
    <row r="150" spans="8:14" x14ac:dyDescent="0.25">
      <c r="H150" s="91"/>
      <c r="I150" s="91"/>
      <c r="J150" s="97"/>
      <c r="K150" s="79"/>
      <c r="L150" s="79"/>
      <c r="M150" s="79" t="str">
        <f>Table72818224[[#This Row],[DBA]]&amp;" - "&amp;Table72818224[[#This Row],[BIN]]&amp;" - "&amp;Table72818224[[#This Row],[CAID]]</f>
        <v xml:space="preserve"> -  - </v>
      </c>
      <c r="N150" s="90"/>
    </row>
    <row r="151" spans="8:14" x14ac:dyDescent="0.25">
      <c r="H151" s="91"/>
      <c r="I151" s="91"/>
      <c r="J151" s="97"/>
      <c r="K151" s="79"/>
      <c r="L151" s="79"/>
      <c r="M151" s="79" t="str">
        <f>Table72818224[[#This Row],[DBA]]&amp;" - "&amp;Table72818224[[#This Row],[BIN]]&amp;" - "&amp;Table72818224[[#This Row],[CAID]]</f>
        <v xml:space="preserve"> -  - </v>
      </c>
      <c r="N151" s="90"/>
    </row>
    <row r="152" spans="8:14" x14ac:dyDescent="0.25">
      <c r="H152" s="91"/>
      <c r="I152" s="91"/>
      <c r="J152" s="97"/>
      <c r="K152" s="79"/>
      <c r="L152" s="79"/>
      <c r="M152" s="79" t="str">
        <f>Table72818224[[#This Row],[DBA]]&amp;" - "&amp;Table72818224[[#This Row],[BIN]]&amp;" - "&amp;Table72818224[[#This Row],[CAID]]</f>
        <v xml:space="preserve"> -  - </v>
      </c>
      <c r="N152" s="90"/>
    </row>
    <row r="153" spans="8:14" x14ac:dyDescent="0.25">
      <c r="H153" s="91"/>
      <c r="I153" s="91"/>
      <c r="J153" s="97"/>
      <c r="K153" s="79"/>
      <c r="L153" s="79"/>
      <c r="M153" s="79" t="str">
        <f>Table72818224[[#This Row],[DBA]]&amp;" - "&amp;Table72818224[[#This Row],[BIN]]&amp;" - "&amp;Table72818224[[#This Row],[CAID]]</f>
        <v xml:space="preserve"> -  - </v>
      </c>
      <c r="N153" s="90"/>
    </row>
    <row r="154" spans="8:14" x14ac:dyDescent="0.25">
      <c r="H154" s="91"/>
      <c r="I154" s="91"/>
      <c r="J154" s="97"/>
      <c r="K154" s="79"/>
      <c r="L154" s="79"/>
      <c r="M154" s="79" t="str">
        <f>Table72818224[[#This Row],[DBA]]&amp;" - "&amp;Table72818224[[#This Row],[BIN]]&amp;" - "&amp;Table72818224[[#This Row],[CAID]]</f>
        <v xml:space="preserve"> -  - </v>
      </c>
      <c r="N154" s="90"/>
    </row>
    <row r="155" spans="8:14" x14ac:dyDescent="0.25">
      <c r="H155" s="91"/>
      <c r="I155" s="91"/>
      <c r="J155" s="97"/>
      <c r="K155" s="79"/>
      <c r="L155" s="79"/>
      <c r="M155" s="79" t="str">
        <f>Table72818224[[#This Row],[DBA]]&amp;" - "&amp;Table72818224[[#This Row],[BIN]]&amp;" - "&amp;Table72818224[[#This Row],[CAID]]</f>
        <v xml:space="preserve"> -  - </v>
      </c>
      <c r="N155" s="90"/>
    </row>
    <row r="156" spans="8:14" x14ac:dyDescent="0.25">
      <c r="H156" s="91"/>
      <c r="I156" s="91"/>
      <c r="J156" s="97"/>
      <c r="K156" s="79"/>
      <c r="L156" s="79"/>
      <c r="M156" s="79" t="str">
        <f>Table72818224[[#This Row],[DBA]]&amp;" - "&amp;Table72818224[[#This Row],[BIN]]&amp;" - "&amp;Table72818224[[#This Row],[CAID]]</f>
        <v xml:space="preserve"> -  - </v>
      </c>
      <c r="N156" s="90"/>
    </row>
    <row r="157" spans="8:14" x14ac:dyDescent="0.25">
      <c r="H157" s="91"/>
      <c r="I157" s="91"/>
      <c r="J157" s="97"/>
      <c r="K157" s="79"/>
      <c r="L157" s="79"/>
      <c r="M157" s="79" t="str">
        <f>Table72818224[[#This Row],[DBA]]&amp;" - "&amp;Table72818224[[#This Row],[BIN]]&amp;" - "&amp;Table72818224[[#This Row],[CAID]]</f>
        <v xml:space="preserve"> -  - </v>
      </c>
      <c r="N157" s="90"/>
    </row>
    <row r="158" spans="8:14" x14ac:dyDescent="0.25">
      <c r="H158" s="91"/>
      <c r="I158" s="91"/>
      <c r="J158" s="97"/>
      <c r="K158" s="79"/>
      <c r="L158" s="79"/>
      <c r="M158" s="79" t="str">
        <f>Table72818224[[#This Row],[DBA]]&amp;" - "&amp;Table72818224[[#This Row],[BIN]]&amp;" - "&amp;Table72818224[[#This Row],[CAID]]</f>
        <v xml:space="preserve"> -  - </v>
      </c>
      <c r="N158" s="90"/>
    </row>
    <row r="159" spans="8:14" x14ac:dyDescent="0.25">
      <c r="H159" s="91"/>
      <c r="I159" s="91"/>
      <c r="J159" s="97"/>
      <c r="K159" s="79"/>
      <c r="L159" s="79"/>
      <c r="M159" s="79" t="str">
        <f>Table72818224[[#This Row],[DBA]]&amp;" - "&amp;Table72818224[[#This Row],[BIN]]&amp;" - "&amp;Table72818224[[#This Row],[CAID]]</f>
        <v xml:space="preserve"> -  - </v>
      </c>
      <c r="N159" s="90"/>
    </row>
    <row r="160" spans="8:14" x14ac:dyDescent="0.25">
      <c r="H160" s="91"/>
      <c r="I160" s="91"/>
      <c r="J160" s="97"/>
      <c r="K160" s="79"/>
      <c r="L160" s="79"/>
      <c r="M160" s="79" t="str">
        <f>Table72818224[[#This Row],[DBA]]&amp;" - "&amp;Table72818224[[#This Row],[BIN]]&amp;" - "&amp;Table72818224[[#This Row],[CAID]]</f>
        <v xml:space="preserve"> -  - </v>
      </c>
      <c r="N160" s="90"/>
    </row>
    <row r="161" spans="8:14" x14ac:dyDescent="0.25">
      <c r="H161" s="91"/>
      <c r="I161" s="91"/>
      <c r="J161" s="97"/>
      <c r="K161" s="79"/>
      <c r="L161" s="79"/>
      <c r="M161" s="79" t="str">
        <f>Table72818224[[#This Row],[DBA]]&amp;" - "&amp;Table72818224[[#This Row],[BIN]]&amp;" - "&amp;Table72818224[[#This Row],[CAID]]</f>
        <v xml:space="preserve"> -  - </v>
      </c>
      <c r="N161" s="90"/>
    </row>
    <row r="162" spans="8:14" x14ac:dyDescent="0.25">
      <c r="H162" s="91"/>
      <c r="I162" s="91"/>
      <c r="J162" s="97"/>
      <c r="K162" s="79"/>
      <c r="L162" s="79"/>
      <c r="M162" s="79" t="str">
        <f>Table72818224[[#This Row],[DBA]]&amp;" - "&amp;Table72818224[[#This Row],[BIN]]&amp;" - "&amp;Table72818224[[#This Row],[CAID]]</f>
        <v xml:space="preserve"> -  - </v>
      </c>
      <c r="N162" s="90"/>
    </row>
    <row r="163" spans="8:14" x14ac:dyDescent="0.25">
      <c r="H163" s="91"/>
      <c r="I163" s="91"/>
      <c r="J163" s="97"/>
      <c r="K163" s="79"/>
      <c r="L163" s="79"/>
      <c r="M163" s="79" t="str">
        <f>Table72818224[[#This Row],[DBA]]&amp;" - "&amp;Table72818224[[#This Row],[BIN]]&amp;" - "&amp;Table72818224[[#This Row],[CAID]]</f>
        <v xml:space="preserve"> -  - </v>
      </c>
      <c r="N163" s="90"/>
    </row>
    <row r="164" spans="8:14" x14ac:dyDescent="0.25">
      <c r="H164" s="91"/>
      <c r="I164" s="91"/>
      <c r="J164" s="97"/>
      <c r="K164" s="79"/>
      <c r="L164" s="79"/>
      <c r="M164" s="79" t="str">
        <f>Table72818224[[#This Row],[DBA]]&amp;" - "&amp;Table72818224[[#This Row],[BIN]]&amp;" - "&amp;Table72818224[[#This Row],[CAID]]</f>
        <v xml:space="preserve"> -  - </v>
      </c>
      <c r="N164" s="90"/>
    </row>
    <row r="165" spans="8:14" x14ac:dyDescent="0.25">
      <c r="H165" s="91"/>
      <c r="I165" s="91"/>
      <c r="J165" s="97"/>
      <c r="K165" s="79"/>
      <c r="L165" s="79"/>
      <c r="M165" s="79" t="str">
        <f>Table72818224[[#This Row],[DBA]]&amp;" - "&amp;Table72818224[[#This Row],[BIN]]&amp;" - "&amp;Table72818224[[#This Row],[CAID]]</f>
        <v xml:space="preserve"> -  - </v>
      </c>
      <c r="N165" s="90"/>
    </row>
    <row r="166" spans="8:14" x14ac:dyDescent="0.25">
      <c r="H166" s="91"/>
      <c r="I166" s="91"/>
      <c r="J166" s="97"/>
      <c r="K166" s="79"/>
      <c r="L166" s="79"/>
      <c r="M166" s="79" t="str">
        <f>Table72818224[[#This Row],[DBA]]&amp;" - "&amp;Table72818224[[#This Row],[BIN]]&amp;" - "&amp;Table72818224[[#This Row],[CAID]]</f>
        <v xml:space="preserve"> -  - </v>
      </c>
      <c r="N166" s="90"/>
    </row>
    <row r="167" spans="8:14" x14ac:dyDescent="0.25">
      <c r="H167" s="91"/>
      <c r="I167" s="91"/>
      <c r="J167" s="97"/>
      <c r="K167" s="79"/>
      <c r="L167" s="79"/>
      <c r="M167" s="79" t="str">
        <f>Table72818224[[#This Row],[DBA]]&amp;" - "&amp;Table72818224[[#This Row],[BIN]]&amp;" - "&amp;Table72818224[[#This Row],[CAID]]</f>
        <v xml:space="preserve"> -  - </v>
      </c>
      <c r="N167" s="90"/>
    </row>
    <row r="168" spans="8:14" x14ac:dyDescent="0.25">
      <c r="H168" s="91"/>
      <c r="I168" s="91"/>
      <c r="J168" s="97"/>
      <c r="K168" s="79"/>
      <c r="L168" s="79"/>
      <c r="M168" s="79" t="str">
        <f>Table72818224[[#This Row],[DBA]]&amp;" - "&amp;Table72818224[[#This Row],[BIN]]&amp;" - "&amp;Table72818224[[#This Row],[CAID]]</f>
        <v xml:space="preserve"> -  - </v>
      </c>
      <c r="N168" s="90"/>
    </row>
    <row r="169" spans="8:14" x14ac:dyDescent="0.25">
      <c r="H169" s="91"/>
      <c r="I169" s="91"/>
      <c r="J169" s="97"/>
      <c r="K169" s="79"/>
      <c r="L169" s="79"/>
      <c r="M169" s="79" t="str">
        <f>Table72818224[[#This Row],[DBA]]&amp;" - "&amp;Table72818224[[#This Row],[BIN]]&amp;" - "&amp;Table72818224[[#This Row],[CAID]]</f>
        <v xml:space="preserve"> -  - </v>
      </c>
      <c r="N169" s="90"/>
    </row>
    <row r="170" spans="8:14" x14ac:dyDescent="0.25">
      <c r="H170" s="91"/>
      <c r="I170" s="91"/>
      <c r="J170" s="97"/>
      <c r="K170" s="79"/>
      <c r="L170" s="79"/>
      <c r="M170" s="79" t="str">
        <f>Table72818224[[#This Row],[DBA]]&amp;" - "&amp;Table72818224[[#This Row],[BIN]]&amp;" - "&amp;Table72818224[[#This Row],[CAID]]</f>
        <v xml:space="preserve"> -  - </v>
      </c>
      <c r="N170" s="90"/>
    </row>
    <row r="171" spans="8:14" x14ac:dyDescent="0.25">
      <c r="H171" s="91"/>
      <c r="I171" s="91"/>
      <c r="J171" s="97"/>
      <c r="K171" s="79"/>
      <c r="L171" s="79"/>
      <c r="M171" s="79" t="str">
        <f>Table72818224[[#This Row],[DBA]]&amp;" - "&amp;Table72818224[[#This Row],[BIN]]&amp;" - "&amp;Table72818224[[#This Row],[CAID]]</f>
        <v xml:space="preserve"> -  - </v>
      </c>
      <c r="N171" s="90"/>
    </row>
    <row r="172" spans="8:14" x14ac:dyDescent="0.25">
      <c r="H172" s="91"/>
      <c r="I172" s="91"/>
      <c r="J172" s="97"/>
      <c r="K172" s="79"/>
      <c r="L172" s="79"/>
      <c r="M172" s="79" t="str">
        <f>Table72818224[[#This Row],[DBA]]&amp;" - "&amp;Table72818224[[#This Row],[BIN]]&amp;" - "&amp;Table72818224[[#This Row],[CAID]]</f>
        <v xml:space="preserve"> -  - </v>
      </c>
      <c r="N172" s="90"/>
    </row>
    <row r="173" spans="8:14" x14ac:dyDescent="0.25">
      <c r="H173" s="91"/>
      <c r="I173" s="91"/>
      <c r="J173" s="97"/>
      <c r="K173" s="79"/>
      <c r="L173" s="79"/>
      <c r="M173" s="79" t="str">
        <f>Table72818224[[#This Row],[DBA]]&amp;" - "&amp;Table72818224[[#This Row],[BIN]]&amp;" - "&amp;Table72818224[[#This Row],[CAID]]</f>
        <v xml:space="preserve"> -  - </v>
      </c>
      <c r="N173" s="90"/>
    </row>
    <row r="174" spans="8:14" x14ac:dyDescent="0.25">
      <c r="H174" s="91"/>
      <c r="I174" s="91"/>
      <c r="J174" s="97"/>
      <c r="K174" s="79"/>
      <c r="L174" s="79"/>
      <c r="M174" s="79" t="str">
        <f>Table72818224[[#This Row],[DBA]]&amp;" - "&amp;Table72818224[[#This Row],[BIN]]&amp;" - "&amp;Table72818224[[#This Row],[CAID]]</f>
        <v xml:space="preserve"> -  - </v>
      </c>
      <c r="N174" s="90"/>
    </row>
    <row r="175" spans="8:14" x14ac:dyDescent="0.25">
      <c r="H175" s="91"/>
      <c r="I175" s="91"/>
      <c r="J175" s="97"/>
      <c r="K175" s="79"/>
      <c r="L175" s="79"/>
      <c r="M175" s="79" t="str">
        <f>Table72818224[[#This Row],[DBA]]&amp;" - "&amp;Table72818224[[#This Row],[BIN]]&amp;" - "&amp;Table72818224[[#This Row],[CAID]]</f>
        <v xml:space="preserve"> -  - </v>
      </c>
      <c r="N175" s="90"/>
    </row>
    <row r="176" spans="8:14" x14ac:dyDescent="0.25">
      <c r="H176" s="91"/>
      <c r="I176" s="91"/>
      <c r="J176" s="97"/>
      <c r="K176" s="79"/>
      <c r="L176" s="79"/>
      <c r="M176" s="79" t="str">
        <f>Table72818224[[#This Row],[DBA]]&amp;" - "&amp;Table72818224[[#This Row],[BIN]]&amp;" - "&amp;Table72818224[[#This Row],[CAID]]</f>
        <v xml:space="preserve"> -  - </v>
      </c>
      <c r="N176" s="90"/>
    </row>
    <row r="177" spans="8:14" x14ac:dyDescent="0.25">
      <c r="H177" s="91"/>
      <c r="I177" s="91"/>
      <c r="J177" s="97"/>
      <c r="K177" s="79"/>
      <c r="L177" s="79"/>
      <c r="M177" s="79" t="str">
        <f>Table72818224[[#This Row],[DBA]]&amp;" - "&amp;Table72818224[[#This Row],[BIN]]&amp;" - "&amp;Table72818224[[#This Row],[CAID]]</f>
        <v xml:space="preserve"> -  - </v>
      </c>
      <c r="N177" s="90"/>
    </row>
    <row r="178" spans="8:14" x14ac:dyDescent="0.25">
      <c r="H178" s="91"/>
      <c r="I178" s="91"/>
      <c r="J178" s="97"/>
      <c r="K178" s="79"/>
      <c r="L178" s="79"/>
      <c r="M178" s="79" t="str">
        <f>Table72818224[[#This Row],[DBA]]&amp;" - "&amp;Table72818224[[#This Row],[BIN]]&amp;" - "&amp;Table72818224[[#This Row],[CAID]]</f>
        <v xml:space="preserve"> -  - </v>
      </c>
      <c r="N178" s="90"/>
    </row>
    <row r="179" spans="8:14" x14ac:dyDescent="0.25">
      <c r="H179" s="91"/>
      <c r="I179" s="91"/>
      <c r="J179" s="97"/>
      <c r="K179" s="79"/>
      <c r="L179" s="79"/>
      <c r="M179" s="79" t="str">
        <f>Table72818224[[#This Row],[DBA]]&amp;" - "&amp;Table72818224[[#This Row],[BIN]]&amp;" - "&amp;Table72818224[[#This Row],[CAID]]</f>
        <v xml:space="preserve"> -  - </v>
      </c>
      <c r="N179" s="90"/>
    </row>
    <row r="180" spans="8:14" x14ac:dyDescent="0.25">
      <c r="H180" s="91"/>
      <c r="I180" s="91"/>
      <c r="J180" s="97"/>
      <c r="K180" s="79"/>
      <c r="L180" s="79"/>
      <c r="M180" s="79" t="str">
        <f>Table72818224[[#This Row],[DBA]]&amp;" - "&amp;Table72818224[[#This Row],[BIN]]&amp;" - "&amp;Table72818224[[#This Row],[CAID]]</f>
        <v xml:space="preserve"> -  - </v>
      </c>
      <c r="N180" s="90"/>
    </row>
    <row r="181" spans="8:14" x14ac:dyDescent="0.25">
      <c r="H181" s="91"/>
      <c r="I181" s="91"/>
      <c r="J181" s="97"/>
      <c r="K181" s="79"/>
      <c r="L181" s="79"/>
      <c r="M181" s="79" t="str">
        <f>Table72818224[[#This Row],[DBA]]&amp;" - "&amp;Table72818224[[#This Row],[BIN]]&amp;" - "&amp;Table72818224[[#This Row],[CAID]]</f>
        <v xml:space="preserve"> -  - </v>
      </c>
      <c r="N181" s="90"/>
    </row>
    <row r="182" spans="8:14" x14ac:dyDescent="0.25">
      <c r="H182" s="91"/>
      <c r="I182" s="91"/>
      <c r="J182" s="97"/>
      <c r="K182" s="79"/>
      <c r="L182" s="79"/>
      <c r="M182" s="79" t="str">
        <f>Table72818224[[#This Row],[DBA]]&amp;" - "&amp;Table72818224[[#This Row],[BIN]]&amp;" - "&amp;Table72818224[[#This Row],[CAID]]</f>
        <v xml:space="preserve"> -  - </v>
      </c>
      <c r="N182" s="90"/>
    </row>
    <row r="183" spans="8:14" x14ac:dyDescent="0.25">
      <c r="H183" s="91"/>
      <c r="I183" s="91"/>
      <c r="J183" s="97"/>
      <c r="K183" s="79"/>
      <c r="L183" s="79"/>
      <c r="M183" s="79" t="str">
        <f>Table72818224[[#This Row],[DBA]]&amp;" - "&amp;Table72818224[[#This Row],[BIN]]&amp;" - "&amp;Table72818224[[#This Row],[CAID]]</f>
        <v xml:space="preserve"> -  - </v>
      </c>
      <c r="N183" s="90"/>
    </row>
    <row r="184" spans="8:14" x14ac:dyDescent="0.25">
      <c r="H184" s="91"/>
      <c r="I184" s="91"/>
      <c r="J184" s="97"/>
      <c r="K184" s="79"/>
      <c r="L184" s="79"/>
      <c r="M184" s="79" t="str">
        <f>Table72818224[[#This Row],[DBA]]&amp;" - "&amp;Table72818224[[#This Row],[BIN]]&amp;" - "&amp;Table72818224[[#This Row],[CAID]]</f>
        <v xml:space="preserve"> -  - </v>
      </c>
      <c r="N184" s="90"/>
    </row>
    <row r="185" spans="8:14" x14ac:dyDescent="0.25">
      <c r="H185" s="91"/>
      <c r="I185" s="91"/>
      <c r="J185" s="97"/>
      <c r="K185" s="79"/>
      <c r="L185" s="79"/>
      <c r="M185" s="79" t="str">
        <f>Table72818224[[#This Row],[DBA]]&amp;" - "&amp;Table72818224[[#This Row],[BIN]]&amp;" - "&amp;Table72818224[[#This Row],[CAID]]</f>
        <v xml:space="preserve"> -  - </v>
      </c>
      <c r="N185" s="90"/>
    </row>
    <row r="186" spans="8:14" x14ac:dyDescent="0.25">
      <c r="H186" s="91"/>
      <c r="I186" s="91"/>
      <c r="J186" s="97"/>
      <c r="K186" s="79"/>
      <c r="L186" s="79"/>
      <c r="M186" s="79" t="str">
        <f>Table72818224[[#This Row],[DBA]]&amp;" - "&amp;Table72818224[[#This Row],[BIN]]&amp;" - "&amp;Table72818224[[#This Row],[CAID]]</f>
        <v xml:space="preserve"> -  - </v>
      </c>
      <c r="N186" s="90"/>
    </row>
    <row r="187" spans="8:14" x14ac:dyDescent="0.25">
      <c r="H187" s="91"/>
      <c r="I187" s="91"/>
      <c r="J187" s="97"/>
      <c r="K187" s="79"/>
      <c r="L187" s="79"/>
      <c r="M187" s="79" t="str">
        <f>Table72818224[[#This Row],[DBA]]&amp;" - "&amp;Table72818224[[#This Row],[BIN]]&amp;" - "&amp;Table72818224[[#This Row],[CAID]]</f>
        <v xml:space="preserve"> -  - </v>
      </c>
      <c r="N187" s="90"/>
    </row>
    <row r="188" spans="8:14" x14ac:dyDescent="0.25">
      <c r="H188" s="91"/>
      <c r="I188" s="91"/>
      <c r="J188" s="97"/>
      <c r="K188" s="79"/>
      <c r="L188" s="79"/>
      <c r="M188" s="79" t="str">
        <f>Table72818224[[#This Row],[DBA]]&amp;" - "&amp;Table72818224[[#This Row],[BIN]]&amp;" - "&amp;Table72818224[[#This Row],[CAID]]</f>
        <v xml:space="preserve"> -  - </v>
      </c>
      <c r="N188" s="90"/>
    </row>
    <row r="189" spans="8:14" x14ac:dyDescent="0.25">
      <c r="H189" s="91"/>
      <c r="I189" s="91"/>
      <c r="J189" s="97"/>
      <c r="K189" s="79"/>
      <c r="L189" s="79"/>
      <c r="M189" s="79" t="str">
        <f>Table72818224[[#This Row],[DBA]]&amp;" - "&amp;Table72818224[[#This Row],[BIN]]&amp;" - "&amp;Table72818224[[#This Row],[CAID]]</f>
        <v xml:space="preserve"> -  - </v>
      </c>
      <c r="N189" s="90"/>
    </row>
    <row r="190" spans="8:14" x14ac:dyDescent="0.25">
      <c r="H190" s="91"/>
      <c r="I190" s="91"/>
      <c r="J190" s="97"/>
      <c r="K190" s="79"/>
      <c r="L190" s="79"/>
      <c r="M190" s="79" t="str">
        <f>Table72818224[[#This Row],[DBA]]&amp;" - "&amp;Table72818224[[#This Row],[BIN]]&amp;" - "&amp;Table72818224[[#This Row],[CAID]]</f>
        <v xml:space="preserve"> -  - </v>
      </c>
      <c r="N190" s="90"/>
    </row>
    <row r="191" spans="8:14" x14ac:dyDescent="0.25">
      <c r="H191" s="91"/>
      <c r="I191" s="91"/>
      <c r="J191" s="97"/>
      <c r="K191" s="79"/>
      <c r="L191" s="79"/>
      <c r="M191" s="79" t="str">
        <f>Table72818224[[#This Row],[DBA]]&amp;" - "&amp;Table72818224[[#This Row],[BIN]]&amp;" - "&amp;Table72818224[[#This Row],[CAID]]</f>
        <v xml:space="preserve"> -  - </v>
      </c>
      <c r="N191" s="90"/>
    </row>
    <row r="192" spans="8:14" x14ac:dyDescent="0.25">
      <c r="H192" s="91"/>
      <c r="I192" s="91"/>
      <c r="J192" s="97"/>
      <c r="K192" s="79"/>
      <c r="L192" s="79"/>
      <c r="M192" s="79" t="str">
        <f>Table72818224[[#This Row],[DBA]]&amp;" - "&amp;Table72818224[[#This Row],[BIN]]&amp;" - "&amp;Table72818224[[#This Row],[CAID]]</f>
        <v xml:space="preserve"> -  - </v>
      </c>
      <c r="N192" s="90"/>
    </row>
    <row r="193" spans="8:14" x14ac:dyDescent="0.25">
      <c r="H193" s="91"/>
      <c r="I193" s="91"/>
      <c r="J193" s="97"/>
      <c r="K193" s="79"/>
      <c r="L193" s="79"/>
      <c r="M193" s="79" t="str">
        <f>Table72818224[[#This Row],[DBA]]&amp;" - "&amp;Table72818224[[#This Row],[BIN]]&amp;" - "&amp;Table72818224[[#This Row],[CAID]]</f>
        <v xml:space="preserve"> -  - </v>
      </c>
      <c r="N193" s="90"/>
    </row>
    <row r="194" spans="8:14" x14ac:dyDescent="0.25">
      <c r="H194" s="91"/>
      <c r="I194" s="91"/>
      <c r="J194" s="97"/>
      <c r="K194" s="79"/>
      <c r="L194" s="79"/>
      <c r="M194" s="79" t="str">
        <f>Table72818224[[#This Row],[DBA]]&amp;" - "&amp;Table72818224[[#This Row],[BIN]]&amp;" - "&amp;Table72818224[[#This Row],[CAID]]</f>
        <v xml:space="preserve"> -  - </v>
      </c>
      <c r="N194" s="90"/>
    </row>
    <row r="195" spans="8:14" x14ac:dyDescent="0.25">
      <c r="H195" s="91"/>
      <c r="I195" s="91"/>
      <c r="J195" s="97"/>
      <c r="K195" s="79"/>
      <c r="L195" s="79"/>
      <c r="M195" s="79" t="str">
        <f>Table72818224[[#This Row],[DBA]]&amp;" - "&amp;Table72818224[[#This Row],[BIN]]&amp;" - "&amp;Table72818224[[#This Row],[CAID]]</f>
        <v xml:space="preserve"> -  - </v>
      </c>
      <c r="N195" s="90"/>
    </row>
    <row r="196" spans="8:14" x14ac:dyDescent="0.25">
      <c r="H196" s="91"/>
      <c r="I196" s="91"/>
      <c r="J196" s="97"/>
      <c r="K196" s="79"/>
      <c r="L196" s="79"/>
      <c r="M196" s="79" t="str">
        <f>Table72818224[[#This Row],[DBA]]&amp;" - "&amp;Table72818224[[#This Row],[BIN]]&amp;" - "&amp;Table72818224[[#This Row],[CAID]]</f>
        <v xml:space="preserve"> -  - </v>
      </c>
      <c r="N196" s="90"/>
    </row>
    <row r="197" spans="8:14" x14ac:dyDescent="0.25">
      <c r="H197" s="91"/>
      <c r="I197" s="91"/>
      <c r="J197" s="97"/>
      <c r="K197" s="79"/>
      <c r="L197" s="79"/>
      <c r="M197" s="79" t="str">
        <f>Table72818224[[#This Row],[DBA]]&amp;" - "&amp;Table72818224[[#This Row],[BIN]]&amp;" - "&amp;Table72818224[[#This Row],[CAID]]</f>
        <v xml:space="preserve"> -  - </v>
      </c>
      <c r="N197" s="90"/>
    </row>
    <row r="198" spans="8:14" x14ac:dyDescent="0.25">
      <c r="H198" s="91"/>
      <c r="I198" s="91"/>
      <c r="J198" s="97"/>
      <c r="K198" s="79"/>
      <c r="L198" s="79"/>
      <c r="M198" s="79" t="str">
        <f>Table72818224[[#This Row],[DBA]]&amp;" - "&amp;Table72818224[[#This Row],[BIN]]&amp;" - "&amp;Table72818224[[#This Row],[CAID]]</f>
        <v xml:space="preserve"> -  - </v>
      </c>
      <c r="N198" s="90"/>
    </row>
    <row r="199" spans="8:14" x14ac:dyDescent="0.25">
      <c r="H199" s="91"/>
      <c r="I199" s="91"/>
      <c r="J199" s="97"/>
      <c r="K199" s="79"/>
      <c r="L199" s="79"/>
      <c r="M199" s="79" t="str">
        <f>Table72818224[[#This Row],[DBA]]&amp;" - "&amp;Table72818224[[#This Row],[BIN]]&amp;" - "&amp;Table72818224[[#This Row],[CAID]]</f>
        <v xml:space="preserve"> -  - </v>
      </c>
      <c r="N199" s="90"/>
    </row>
    <row r="200" spans="8:14" x14ac:dyDescent="0.25">
      <c r="H200" s="91"/>
      <c r="I200" s="91"/>
      <c r="J200" s="97"/>
      <c r="K200" s="79"/>
      <c r="L200" s="79"/>
      <c r="M200" s="79" t="str">
        <f>Table72818224[[#This Row],[DBA]]&amp;" - "&amp;Table72818224[[#This Row],[BIN]]&amp;" - "&amp;Table72818224[[#This Row],[CAID]]</f>
        <v xml:space="preserve"> -  - </v>
      </c>
      <c r="N200" s="90"/>
    </row>
    <row r="201" spans="8:14" x14ac:dyDescent="0.25">
      <c r="H201" s="91"/>
      <c r="I201" s="91"/>
      <c r="J201" s="97"/>
      <c r="K201" s="79"/>
      <c r="L201" s="79"/>
      <c r="M201" s="79" t="str">
        <f>Table72818224[[#This Row],[DBA]]&amp;" - "&amp;Table72818224[[#This Row],[BIN]]&amp;" - "&amp;Table72818224[[#This Row],[CAID]]</f>
        <v xml:space="preserve"> -  - </v>
      </c>
      <c r="N201" s="90"/>
    </row>
    <row r="202" spans="8:14" x14ac:dyDescent="0.25">
      <c r="H202" s="91"/>
      <c r="I202" s="91"/>
      <c r="J202" s="97"/>
      <c r="K202" s="79"/>
      <c r="L202" s="79"/>
      <c r="M202" s="79" t="str">
        <f>Table72818224[[#This Row],[DBA]]&amp;" - "&amp;Table72818224[[#This Row],[BIN]]&amp;" - "&amp;Table72818224[[#This Row],[CAID]]</f>
        <v xml:space="preserve"> -  - </v>
      </c>
      <c r="N202" s="90"/>
    </row>
    <row r="203" spans="8:14" x14ac:dyDescent="0.25">
      <c r="H203" s="91"/>
      <c r="I203" s="91"/>
      <c r="J203" s="97"/>
      <c r="K203" s="79"/>
      <c r="L203" s="79"/>
      <c r="M203" s="79" t="str">
        <f>Table72818224[[#This Row],[DBA]]&amp;" - "&amp;Table72818224[[#This Row],[BIN]]&amp;" - "&amp;Table72818224[[#This Row],[CAID]]</f>
        <v xml:space="preserve"> -  - </v>
      </c>
      <c r="N203" s="90"/>
    </row>
    <row r="204" spans="8:14" x14ac:dyDescent="0.25">
      <c r="H204" s="91"/>
      <c r="I204" s="91"/>
      <c r="J204" s="97"/>
      <c r="K204" s="79"/>
      <c r="L204" s="79"/>
      <c r="M204" s="79" t="str">
        <f>Table72818224[[#This Row],[DBA]]&amp;" - "&amp;Table72818224[[#This Row],[BIN]]&amp;" - "&amp;Table72818224[[#This Row],[CAID]]</f>
        <v xml:space="preserve"> -  - </v>
      </c>
      <c r="N204" s="90"/>
    </row>
    <row r="205" spans="8:14" x14ac:dyDescent="0.25">
      <c r="H205" s="91"/>
      <c r="I205" s="91"/>
      <c r="J205" s="97"/>
      <c r="K205" s="79"/>
      <c r="L205" s="79"/>
      <c r="M205" s="79" t="str">
        <f>Table72818224[[#This Row],[DBA]]&amp;" - "&amp;Table72818224[[#This Row],[BIN]]&amp;" - "&amp;Table72818224[[#This Row],[CAID]]</f>
        <v xml:space="preserve"> -  - </v>
      </c>
      <c r="N205" s="90"/>
    </row>
    <row r="206" spans="8:14" x14ac:dyDescent="0.25">
      <c r="H206" s="91"/>
      <c r="I206" s="91"/>
      <c r="J206" s="97"/>
      <c r="K206" s="79"/>
      <c r="L206" s="79"/>
      <c r="M206" s="79" t="str">
        <f>Table72818224[[#This Row],[DBA]]&amp;" - "&amp;Table72818224[[#This Row],[BIN]]&amp;" - "&amp;Table72818224[[#This Row],[CAID]]</f>
        <v xml:space="preserve"> -  - </v>
      </c>
      <c r="N206" s="90"/>
    </row>
    <row r="207" spans="8:14" x14ac:dyDescent="0.25">
      <c r="H207" s="91"/>
      <c r="I207" s="91"/>
      <c r="J207" s="97"/>
      <c r="K207" s="79"/>
      <c r="L207" s="79"/>
      <c r="M207" s="79" t="str">
        <f>Table72818224[[#This Row],[DBA]]&amp;" - "&amp;Table72818224[[#This Row],[BIN]]&amp;" - "&amp;Table72818224[[#This Row],[CAID]]</f>
        <v xml:space="preserve"> -  - </v>
      </c>
      <c r="N207" s="90"/>
    </row>
    <row r="208" spans="8:14" x14ac:dyDescent="0.25">
      <c r="H208" s="91"/>
      <c r="I208" s="91"/>
      <c r="J208" s="97"/>
      <c r="K208" s="79"/>
      <c r="L208" s="79"/>
      <c r="M208" s="79" t="str">
        <f>Table72818224[[#This Row],[DBA]]&amp;" - "&amp;Table72818224[[#This Row],[BIN]]&amp;" - "&amp;Table72818224[[#This Row],[CAID]]</f>
        <v xml:space="preserve"> -  - </v>
      </c>
      <c r="N208" s="90"/>
    </row>
    <row r="209" spans="8:14" x14ac:dyDescent="0.25">
      <c r="H209" s="91"/>
      <c r="I209" s="91"/>
      <c r="J209" s="97"/>
      <c r="K209" s="79"/>
      <c r="L209" s="79"/>
      <c r="M209" s="79" t="str">
        <f>Table72818224[[#This Row],[DBA]]&amp;" - "&amp;Table72818224[[#This Row],[BIN]]&amp;" - "&amp;Table72818224[[#This Row],[CAID]]</f>
        <v xml:space="preserve"> -  - </v>
      </c>
      <c r="N209" s="90"/>
    </row>
    <row r="210" spans="8:14" x14ac:dyDescent="0.25">
      <c r="H210" s="91"/>
      <c r="I210" s="91"/>
      <c r="J210" s="97"/>
      <c r="K210" s="79"/>
      <c r="L210" s="79"/>
      <c r="M210" s="79" t="str">
        <f>Table72818224[[#This Row],[DBA]]&amp;" - "&amp;Table72818224[[#This Row],[BIN]]&amp;" - "&amp;Table72818224[[#This Row],[CAID]]</f>
        <v xml:space="preserve"> -  - </v>
      </c>
      <c r="N210" s="90"/>
    </row>
    <row r="211" spans="8:14" x14ac:dyDescent="0.25">
      <c r="H211" s="91"/>
      <c r="I211" s="91"/>
      <c r="J211" s="97"/>
      <c r="K211" s="79"/>
      <c r="L211" s="79"/>
      <c r="M211" s="79" t="str">
        <f>Table72818224[[#This Row],[DBA]]&amp;" - "&amp;Table72818224[[#This Row],[BIN]]&amp;" - "&amp;Table72818224[[#This Row],[CAID]]</f>
        <v xml:space="preserve"> -  - </v>
      </c>
      <c r="N211" s="90"/>
    </row>
    <row r="212" spans="8:14" x14ac:dyDescent="0.25">
      <c r="H212" s="91"/>
      <c r="I212" s="91"/>
      <c r="J212" s="97"/>
      <c r="K212" s="79"/>
      <c r="L212" s="79"/>
      <c r="M212" s="79" t="str">
        <f>Table72818224[[#This Row],[DBA]]&amp;" - "&amp;Table72818224[[#This Row],[BIN]]&amp;" - "&amp;Table72818224[[#This Row],[CAID]]</f>
        <v xml:space="preserve"> -  - </v>
      </c>
      <c r="N212" s="90"/>
    </row>
    <row r="213" spans="8:14" x14ac:dyDescent="0.25">
      <c r="H213" s="91"/>
      <c r="I213" s="91"/>
      <c r="J213" s="97"/>
      <c r="K213" s="79"/>
      <c r="L213" s="79"/>
      <c r="M213" s="79" t="str">
        <f>Table72818224[[#This Row],[DBA]]&amp;" - "&amp;Table72818224[[#This Row],[BIN]]&amp;" - "&amp;Table72818224[[#This Row],[CAID]]</f>
        <v xml:space="preserve"> -  - </v>
      </c>
      <c r="N213" s="90"/>
    </row>
    <row r="214" spans="8:14" x14ac:dyDescent="0.25">
      <c r="H214" s="91"/>
      <c r="I214" s="91"/>
      <c r="J214" s="97"/>
      <c r="K214" s="79"/>
      <c r="L214" s="79"/>
      <c r="M214" s="79" t="str">
        <f>Table72818224[[#This Row],[DBA]]&amp;" - "&amp;Table72818224[[#This Row],[BIN]]&amp;" - "&amp;Table72818224[[#This Row],[CAID]]</f>
        <v xml:space="preserve"> -  - </v>
      </c>
      <c r="N214" s="90"/>
    </row>
    <row r="215" spans="8:14" x14ac:dyDescent="0.25">
      <c r="H215" s="91"/>
      <c r="I215" s="91"/>
      <c r="J215" s="97"/>
      <c r="K215" s="79"/>
      <c r="L215" s="79"/>
      <c r="M215" s="79" t="str">
        <f>Table72818224[[#This Row],[DBA]]&amp;" - "&amp;Table72818224[[#This Row],[BIN]]&amp;" - "&amp;Table72818224[[#This Row],[CAID]]</f>
        <v xml:space="preserve"> -  - </v>
      </c>
      <c r="N215" s="90"/>
    </row>
    <row r="216" spans="8:14" x14ac:dyDescent="0.25">
      <c r="H216" s="91"/>
      <c r="I216" s="91"/>
      <c r="J216" s="97"/>
      <c r="K216" s="79"/>
      <c r="L216" s="79"/>
      <c r="M216" s="79" t="str">
        <f>Table72818224[[#This Row],[DBA]]&amp;" - "&amp;Table72818224[[#This Row],[BIN]]&amp;" - "&amp;Table72818224[[#This Row],[CAID]]</f>
        <v xml:space="preserve"> -  - </v>
      </c>
      <c r="N216" s="90"/>
    </row>
    <row r="217" spans="8:14" x14ac:dyDescent="0.25">
      <c r="H217" s="91"/>
      <c r="I217" s="91"/>
      <c r="J217" s="97"/>
      <c r="K217" s="79"/>
      <c r="L217" s="79"/>
      <c r="M217" s="79" t="str">
        <f>Table72818224[[#This Row],[DBA]]&amp;" - "&amp;Table72818224[[#This Row],[BIN]]&amp;" - "&amp;Table72818224[[#This Row],[CAID]]</f>
        <v xml:space="preserve"> -  - </v>
      </c>
      <c r="N217" s="90"/>
    </row>
    <row r="218" spans="8:14" x14ac:dyDescent="0.25">
      <c r="H218" s="91"/>
      <c r="I218" s="91"/>
      <c r="J218" s="97"/>
      <c r="K218" s="79"/>
      <c r="L218" s="79"/>
      <c r="M218" s="79" t="str">
        <f>Table72818224[[#This Row],[DBA]]&amp;" - "&amp;Table72818224[[#This Row],[BIN]]&amp;" - "&amp;Table72818224[[#This Row],[CAID]]</f>
        <v xml:space="preserve"> -  - </v>
      </c>
      <c r="N218" s="90"/>
    </row>
    <row r="219" spans="8:14" x14ac:dyDescent="0.25">
      <c r="H219" s="91"/>
      <c r="I219" s="91"/>
      <c r="J219" s="97"/>
      <c r="K219" s="79"/>
      <c r="L219" s="79"/>
      <c r="M219" s="79" t="str">
        <f>Table72818224[[#This Row],[DBA]]&amp;" - "&amp;Table72818224[[#This Row],[BIN]]&amp;" - "&amp;Table72818224[[#This Row],[CAID]]</f>
        <v xml:space="preserve"> -  - </v>
      </c>
      <c r="N219" s="90"/>
    </row>
    <row r="220" spans="8:14" x14ac:dyDescent="0.25">
      <c r="H220" s="91"/>
      <c r="I220" s="91"/>
      <c r="J220" s="97"/>
      <c r="K220" s="79"/>
      <c r="L220" s="79"/>
      <c r="M220" s="79" t="str">
        <f>Table72818224[[#This Row],[DBA]]&amp;" - "&amp;Table72818224[[#This Row],[BIN]]&amp;" - "&amp;Table72818224[[#This Row],[CAID]]</f>
        <v xml:space="preserve"> -  - </v>
      </c>
      <c r="N220" s="90"/>
    </row>
    <row r="221" spans="8:14" x14ac:dyDescent="0.25">
      <c r="H221" s="91"/>
      <c r="I221" s="91"/>
      <c r="J221" s="97"/>
      <c r="K221" s="79"/>
      <c r="L221" s="79"/>
      <c r="M221" s="79" t="str">
        <f>Table72818224[[#This Row],[DBA]]&amp;" - "&amp;Table72818224[[#This Row],[BIN]]&amp;" - "&amp;Table72818224[[#This Row],[CAID]]</f>
        <v xml:space="preserve"> -  - </v>
      </c>
      <c r="N221" s="90"/>
    </row>
    <row r="222" spans="8:14" x14ac:dyDescent="0.25">
      <c r="H222" s="91"/>
      <c r="I222" s="91"/>
      <c r="J222" s="97"/>
      <c r="K222" s="79"/>
      <c r="L222" s="79"/>
      <c r="M222" s="79" t="str">
        <f>Table72818224[[#This Row],[DBA]]&amp;" - "&amp;Table72818224[[#This Row],[BIN]]&amp;" - "&amp;Table72818224[[#This Row],[CAID]]</f>
        <v xml:space="preserve"> -  - </v>
      </c>
      <c r="N222" s="90"/>
    </row>
    <row r="223" spans="8:14" x14ac:dyDescent="0.25">
      <c r="H223" s="91"/>
      <c r="I223" s="91"/>
      <c r="J223" s="97"/>
      <c r="K223" s="79"/>
      <c r="L223" s="79"/>
      <c r="M223" s="79" t="str">
        <f>Table72818224[[#This Row],[DBA]]&amp;" - "&amp;Table72818224[[#This Row],[BIN]]&amp;" - "&amp;Table72818224[[#This Row],[CAID]]</f>
        <v xml:space="preserve"> -  - </v>
      </c>
      <c r="N223" s="90"/>
    </row>
    <row r="224" spans="8:14" x14ac:dyDescent="0.25">
      <c r="H224" s="91"/>
      <c r="I224" s="91"/>
      <c r="J224" s="97"/>
      <c r="K224" s="79"/>
      <c r="L224" s="79"/>
      <c r="M224" s="79" t="str">
        <f>Table72818224[[#This Row],[DBA]]&amp;" - "&amp;Table72818224[[#This Row],[BIN]]&amp;" - "&amp;Table72818224[[#This Row],[CAID]]</f>
        <v xml:space="preserve"> -  - </v>
      </c>
      <c r="N224" s="90"/>
    </row>
    <row r="225" spans="8:14" x14ac:dyDescent="0.25">
      <c r="H225" s="91"/>
      <c r="I225" s="91"/>
      <c r="J225" s="97"/>
      <c r="K225" s="79"/>
      <c r="L225" s="79"/>
      <c r="M225" s="79" t="str">
        <f>Table72818224[[#This Row],[DBA]]&amp;" - "&amp;Table72818224[[#This Row],[BIN]]&amp;" - "&amp;Table72818224[[#This Row],[CAID]]</f>
        <v xml:space="preserve"> -  - </v>
      </c>
      <c r="N225" s="90"/>
    </row>
    <row r="226" spans="8:14" x14ac:dyDescent="0.25">
      <c r="H226" s="91"/>
      <c r="I226" s="91"/>
      <c r="J226" s="97"/>
      <c r="K226" s="79"/>
      <c r="L226" s="79"/>
      <c r="M226" s="79" t="str">
        <f>Table72818224[[#This Row],[DBA]]&amp;" - "&amp;Table72818224[[#This Row],[BIN]]&amp;" - "&amp;Table72818224[[#This Row],[CAID]]</f>
        <v xml:space="preserve"> -  - </v>
      </c>
      <c r="N226" s="90"/>
    </row>
    <row r="227" spans="8:14" x14ac:dyDescent="0.25">
      <c r="H227" s="91"/>
      <c r="I227" s="91"/>
      <c r="J227" s="97"/>
      <c r="K227" s="79"/>
      <c r="L227" s="79"/>
      <c r="M227" s="79" t="str">
        <f>Table72818224[[#This Row],[DBA]]&amp;" - "&amp;Table72818224[[#This Row],[BIN]]&amp;" - "&amp;Table72818224[[#This Row],[CAID]]</f>
        <v xml:space="preserve"> -  - </v>
      </c>
      <c r="N227" s="90"/>
    </row>
    <row r="228" spans="8:14" x14ac:dyDescent="0.25">
      <c r="H228" s="91"/>
      <c r="I228" s="91"/>
      <c r="J228" s="97"/>
      <c r="K228" s="79"/>
      <c r="L228" s="79"/>
      <c r="M228" s="79" t="str">
        <f>Table72818224[[#This Row],[DBA]]&amp;" - "&amp;Table72818224[[#This Row],[BIN]]&amp;" - "&amp;Table72818224[[#This Row],[CAID]]</f>
        <v xml:space="preserve"> -  - </v>
      </c>
      <c r="N228" s="90"/>
    </row>
    <row r="229" spans="8:14" x14ac:dyDescent="0.25">
      <c r="H229" s="91"/>
      <c r="I229" s="91"/>
      <c r="J229" s="97"/>
      <c r="K229" s="79"/>
      <c r="L229" s="79"/>
      <c r="M229" s="79" t="str">
        <f>Table72818224[[#This Row],[DBA]]&amp;" - "&amp;Table72818224[[#This Row],[BIN]]&amp;" - "&amp;Table72818224[[#This Row],[CAID]]</f>
        <v xml:space="preserve"> -  - </v>
      </c>
      <c r="N229" s="90"/>
    </row>
    <row r="230" spans="8:14" x14ac:dyDescent="0.25">
      <c r="H230" s="91"/>
      <c r="I230" s="91"/>
      <c r="J230" s="97"/>
      <c r="K230" s="79"/>
      <c r="L230" s="79"/>
      <c r="M230" s="79" t="str">
        <f>Table72818224[[#This Row],[DBA]]&amp;" - "&amp;Table72818224[[#This Row],[BIN]]&amp;" - "&amp;Table72818224[[#This Row],[CAID]]</f>
        <v xml:space="preserve"> -  - </v>
      </c>
      <c r="N230" s="90"/>
    </row>
    <row r="231" spans="8:14" x14ac:dyDescent="0.25">
      <c r="H231" s="91"/>
      <c r="I231" s="91"/>
      <c r="J231" s="97"/>
      <c r="K231" s="79"/>
      <c r="L231" s="79"/>
      <c r="M231" s="79" t="str">
        <f>Table72818224[[#This Row],[DBA]]&amp;" - "&amp;Table72818224[[#This Row],[BIN]]&amp;" - "&amp;Table72818224[[#This Row],[CAID]]</f>
        <v xml:space="preserve"> -  - </v>
      </c>
      <c r="N231" s="90"/>
    </row>
    <row r="232" spans="8:14" x14ac:dyDescent="0.25">
      <c r="H232" s="91"/>
      <c r="I232" s="91"/>
      <c r="J232" s="97"/>
      <c r="K232" s="79"/>
      <c r="L232" s="79"/>
      <c r="M232" s="79" t="str">
        <f>Table72818224[[#This Row],[DBA]]&amp;" - "&amp;Table72818224[[#This Row],[BIN]]&amp;" - "&amp;Table72818224[[#This Row],[CAID]]</f>
        <v xml:space="preserve"> -  - </v>
      </c>
      <c r="N232" s="90"/>
    </row>
    <row r="233" spans="8:14" x14ac:dyDescent="0.25">
      <c r="H233" s="91"/>
      <c r="I233" s="91"/>
      <c r="J233" s="97"/>
      <c r="K233" s="79"/>
      <c r="L233" s="79"/>
      <c r="M233" s="79" t="str">
        <f>Table72818224[[#This Row],[DBA]]&amp;" - "&amp;Table72818224[[#This Row],[BIN]]&amp;" - "&amp;Table72818224[[#This Row],[CAID]]</f>
        <v xml:space="preserve"> -  - </v>
      </c>
      <c r="N233" s="90"/>
    </row>
    <row r="234" spans="8:14" x14ac:dyDescent="0.25">
      <c r="H234" s="91"/>
      <c r="I234" s="91"/>
      <c r="J234" s="97"/>
      <c r="K234" s="79"/>
      <c r="L234" s="79"/>
      <c r="M234" s="79" t="str">
        <f>Table72818224[[#This Row],[DBA]]&amp;" - "&amp;Table72818224[[#This Row],[BIN]]&amp;" - "&amp;Table72818224[[#This Row],[CAID]]</f>
        <v xml:space="preserve"> -  - </v>
      </c>
      <c r="N234" s="90"/>
    </row>
    <row r="235" spans="8:14" x14ac:dyDescent="0.25">
      <c r="H235" s="91"/>
      <c r="I235" s="91"/>
      <c r="J235" s="97"/>
      <c r="K235" s="79"/>
      <c r="L235" s="79"/>
      <c r="M235" s="79" t="str">
        <f>Table72818224[[#This Row],[DBA]]&amp;" - "&amp;Table72818224[[#This Row],[BIN]]&amp;" - "&amp;Table72818224[[#This Row],[CAID]]</f>
        <v xml:space="preserve"> -  - </v>
      </c>
      <c r="N235" s="90"/>
    </row>
    <row r="236" spans="8:14" x14ac:dyDescent="0.25">
      <c r="H236" s="91"/>
      <c r="I236" s="91"/>
      <c r="J236" s="97"/>
      <c r="K236" s="79"/>
      <c r="L236" s="79"/>
      <c r="M236" s="79" t="str">
        <f>Table72818224[[#This Row],[DBA]]&amp;" - "&amp;Table72818224[[#This Row],[BIN]]&amp;" - "&amp;Table72818224[[#This Row],[CAID]]</f>
        <v xml:space="preserve"> -  - </v>
      </c>
      <c r="N236" s="90"/>
    </row>
    <row r="237" spans="8:14" x14ac:dyDescent="0.25">
      <c r="H237" s="91"/>
      <c r="I237" s="91"/>
      <c r="J237" s="97"/>
      <c r="K237" s="79"/>
      <c r="L237" s="79"/>
      <c r="M237" s="79" t="str">
        <f>Table72818224[[#This Row],[DBA]]&amp;" - "&amp;Table72818224[[#This Row],[BIN]]&amp;" - "&amp;Table72818224[[#This Row],[CAID]]</f>
        <v xml:space="preserve"> -  - </v>
      </c>
      <c r="N237" s="90"/>
    </row>
    <row r="238" spans="8:14" x14ac:dyDescent="0.25">
      <c r="H238" s="91"/>
      <c r="I238" s="91"/>
      <c r="J238" s="97"/>
      <c r="K238" s="79"/>
      <c r="L238" s="79"/>
      <c r="M238" s="79" t="str">
        <f>Table72818224[[#This Row],[DBA]]&amp;" - "&amp;Table72818224[[#This Row],[BIN]]&amp;" - "&amp;Table72818224[[#This Row],[CAID]]</f>
        <v xml:space="preserve"> -  - </v>
      </c>
      <c r="N238" s="90"/>
    </row>
    <row r="239" spans="8:14" x14ac:dyDescent="0.25">
      <c r="H239" s="91"/>
      <c r="I239" s="91"/>
      <c r="J239" s="97"/>
      <c r="K239" s="79"/>
      <c r="L239" s="79"/>
      <c r="M239" s="79" t="str">
        <f>Table72818224[[#This Row],[DBA]]&amp;" - "&amp;Table72818224[[#This Row],[BIN]]&amp;" - "&amp;Table72818224[[#This Row],[CAID]]</f>
        <v xml:space="preserve"> -  - </v>
      </c>
      <c r="N239" s="90"/>
    </row>
    <row r="240" spans="8:14" x14ac:dyDescent="0.25">
      <c r="H240" s="91"/>
      <c r="I240" s="91"/>
      <c r="J240" s="97"/>
      <c r="K240" s="79"/>
      <c r="L240" s="79"/>
      <c r="M240" s="79" t="str">
        <f>Table72818224[[#This Row],[DBA]]&amp;" - "&amp;Table72818224[[#This Row],[BIN]]&amp;" - "&amp;Table72818224[[#This Row],[CAID]]</f>
        <v xml:space="preserve"> -  - </v>
      </c>
      <c r="N240" s="90"/>
    </row>
    <row r="241" spans="8:14" x14ac:dyDescent="0.25">
      <c r="H241" s="91"/>
      <c r="I241" s="91"/>
      <c r="J241" s="97"/>
      <c r="K241" s="79"/>
      <c r="L241" s="79"/>
      <c r="M241" s="79" t="str">
        <f>Table72818224[[#This Row],[DBA]]&amp;" - "&amp;Table72818224[[#This Row],[BIN]]&amp;" - "&amp;Table72818224[[#This Row],[CAID]]</f>
        <v xml:space="preserve"> -  - </v>
      </c>
      <c r="N241" s="90"/>
    </row>
    <row r="242" spans="8:14" x14ac:dyDescent="0.25">
      <c r="H242" s="91"/>
      <c r="I242" s="91"/>
      <c r="J242" s="97"/>
      <c r="K242" s="79"/>
      <c r="L242" s="79"/>
      <c r="M242" s="79" t="str">
        <f>Table72818224[[#This Row],[DBA]]&amp;" - "&amp;Table72818224[[#This Row],[BIN]]&amp;" - "&amp;Table72818224[[#This Row],[CAID]]</f>
        <v xml:space="preserve"> -  - </v>
      </c>
      <c r="N242" s="90"/>
    </row>
    <row r="243" spans="8:14" x14ac:dyDescent="0.25">
      <c r="H243" s="91"/>
      <c r="I243" s="91"/>
      <c r="J243" s="97"/>
      <c r="K243" s="79"/>
      <c r="L243" s="79"/>
      <c r="M243" s="79" t="str">
        <f>Table72818224[[#This Row],[DBA]]&amp;" - "&amp;Table72818224[[#This Row],[BIN]]&amp;" - "&amp;Table72818224[[#This Row],[CAID]]</f>
        <v xml:space="preserve"> -  - </v>
      </c>
      <c r="N243" s="90"/>
    </row>
    <row r="244" spans="8:14" x14ac:dyDescent="0.25">
      <c r="H244" s="91"/>
      <c r="I244" s="91"/>
      <c r="J244" s="97"/>
      <c r="K244" s="79"/>
      <c r="L244" s="79"/>
      <c r="M244" s="79" t="str">
        <f>Table72818224[[#This Row],[DBA]]&amp;" - "&amp;Table72818224[[#This Row],[BIN]]&amp;" - "&amp;Table72818224[[#This Row],[CAID]]</f>
        <v xml:space="preserve"> -  - </v>
      </c>
      <c r="N244" s="90"/>
    </row>
    <row r="245" spans="8:14" x14ac:dyDescent="0.25">
      <c r="H245" s="91"/>
      <c r="I245" s="91"/>
      <c r="J245" s="97"/>
      <c r="K245" s="79"/>
      <c r="L245" s="79"/>
      <c r="M245" s="79" t="str">
        <f>Table72818224[[#This Row],[DBA]]&amp;" - "&amp;Table72818224[[#This Row],[BIN]]&amp;" - "&amp;Table72818224[[#This Row],[CAID]]</f>
        <v xml:space="preserve"> -  - </v>
      </c>
      <c r="N245" s="90"/>
    </row>
    <row r="246" spans="8:14" x14ac:dyDescent="0.25">
      <c r="H246" s="91"/>
      <c r="I246" s="91"/>
      <c r="J246" s="97"/>
      <c r="K246" s="79"/>
      <c r="L246" s="79"/>
      <c r="M246" s="79" t="str">
        <f>Table72818224[[#This Row],[DBA]]&amp;" - "&amp;Table72818224[[#This Row],[BIN]]&amp;" - "&amp;Table72818224[[#This Row],[CAID]]</f>
        <v xml:space="preserve"> -  - </v>
      </c>
      <c r="N246" s="90"/>
    </row>
    <row r="247" spans="8:14" x14ac:dyDescent="0.25">
      <c r="H247" s="91"/>
      <c r="I247" s="91"/>
      <c r="J247" s="97"/>
      <c r="K247" s="79"/>
      <c r="L247" s="79"/>
      <c r="M247" s="79" t="str">
        <f>Table72818224[[#This Row],[DBA]]&amp;" - "&amp;Table72818224[[#This Row],[BIN]]&amp;" - "&amp;Table72818224[[#This Row],[CAID]]</f>
        <v xml:space="preserve"> -  - </v>
      </c>
      <c r="N247" s="90"/>
    </row>
    <row r="248" spans="8:14" x14ac:dyDescent="0.25">
      <c r="H248" s="91"/>
      <c r="I248" s="91"/>
      <c r="J248" s="97"/>
      <c r="K248" s="79"/>
      <c r="L248" s="79"/>
      <c r="M248" s="79" t="str">
        <f>Table72818224[[#This Row],[DBA]]&amp;" - "&amp;Table72818224[[#This Row],[BIN]]&amp;" - "&amp;Table72818224[[#This Row],[CAID]]</f>
        <v xml:space="preserve"> -  - </v>
      </c>
      <c r="N248" s="90"/>
    </row>
    <row r="249" spans="8:14" x14ac:dyDescent="0.25">
      <c r="H249" s="91"/>
      <c r="I249" s="91"/>
      <c r="J249" s="97"/>
      <c r="K249" s="79"/>
      <c r="L249" s="79"/>
      <c r="M249" s="79" t="str">
        <f>Table72818224[[#This Row],[DBA]]&amp;" - "&amp;Table72818224[[#This Row],[BIN]]&amp;" - "&amp;Table72818224[[#This Row],[CAID]]</f>
        <v xml:space="preserve"> -  - </v>
      </c>
      <c r="N249" s="90"/>
    </row>
    <row r="250" spans="8:14" x14ac:dyDescent="0.25">
      <c r="H250" s="91"/>
      <c r="I250" s="91"/>
      <c r="J250" s="97"/>
      <c r="K250" s="79"/>
      <c r="L250" s="79"/>
      <c r="M250" s="79" t="str">
        <f>Table72818224[[#This Row],[DBA]]&amp;" - "&amp;Table72818224[[#This Row],[BIN]]&amp;" - "&amp;Table72818224[[#This Row],[CAID]]</f>
        <v xml:space="preserve"> -  - </v>
      </c>
      <c r="N250" s="90"/>
    </row>
    <row r="251" spans="8:14" x14ac:dyDescent="0.25">
      <c r="H251" s="91"/>
      <c r="I251" s="91"/>
      <c r="J251" s="97"/>
      <c r="K251" s="79"/>
      <c r="L251" s="79"/>
      <c r="M251" s="79" t="str">
        <f>Table72818224[[#This Row],[DBA]]&amp;" - "&amp;Table72818224[[#This Row],[BIN]]&amp;" - "&amp;Table72818224[[#This Row],[CAID]]</f>
        <v xml:space="preserve"> -  - </v>
      </c>
      <c r="N251" s="90"/>
    </row>
    <row r="252" spans="8:14" x14ac:dyDescent="0.25">
      <c r="H252" s="91"/>
      <c r="I252" s="91"/>
      <c r="J252" s="97"/>
      <c r="K252" s="79"/>
      <c r="L252" s="79"/>
      <c r="M252" s="79" t="str">
        <f>Table72818224[[#This Row],[DBA]]&amp;" - "&amp;Table72818224[[#This Row],[BIN]]&amp;" - "&amp;Table72818224[[#This Row],[CAID]]</f>
        <v xml:space="preserve"> -  - </v>
      </c>
      <c r="N252" s="90"/>
    </row>
    <row r="253" spans="8:14" x14ac:dyDescent="0.25">
      <c r="H253" s="91"/>
      <c r="I253" s="91"/>
      <c r="J253" s="97"/>
      <c r="K253" s="79"/>
      <c r="L253" s="79"/>
      <c r="M253" s="79" t="str">
        <f>Table72818224[[#This Row],[DBA]]&amp;" - "&amp;Table72818224[[#This Row],[BIN]]&amp;" - "&amp;Table72818224[[#This Row],[CAID]]</f>
        <v xml:space="preserve"> -  - </v>
      </c>
      <c r="N253" s="90"/>
    </row>
    <row r="254" spans="8:14" x14ac:dyDescent="0.25">
      <c r="H254" s="91"/>
      <c r="I254" s="91"/>
      <c r="J254" s="97"/>
      <c r="K254" s="79"/>
      <c r="L254" s="79"/>
      <c r="M254" s="79" t="str">
        <f>Table72818224[[#This Row],[DBA]]&amp;" - "&amp;Table72818224[[#This Row],[BIN]]&amp;" - "&amp;Table72818224[[#This Row],[CAID]]</f>
        <v xml:space="preserve"> -  - </v>
      </c>
      <c r="N254" s="90"/>
    </row>
    <row r="255" spans="8:14" x14ac:dyDescent="0.25">
      <c r="H255" s="91"/>
      <c r="I255" s="91"/>
      <c r="J255" s="97"/>
      <c r="K255" s="79"/>
      <c r="L255" s="79"/>
      <c r="M255" s="79" t="str">
        <f>Table72818224[[#This Row],[DBA]]&amp;" - "&amp;Table72818224[[#This Row],[BIN]]&amp;" - "&amp;Table72818224[[#This Row],[CAID]]</f>
        <v xml:space="preserve"> -  - </v>
      </c>
      <c r="N255" s="90"/>
    </row>
    <row r="256" spans="8:14" x14ac:dyDescent="0.25">
      <c r="H256" s="91"/>
      <c r="I256" s="91"/>
      <c r="J256" s="97"/>
      <c r="K256" s="79"/>
      <c r="L256" s="79"/>
      <c r="M256" s="79" t="str">
        <f>Table72818224[[#This Row],[DBA]]&amp;" - "&amp;Table72818224[[#This Row],[BIN]]&amp;" - "&amp;Table72818224[[#This Row],[CAID]]</f>
        <v xml:space="preserve"> -  - </v>
      </c>
      <c r="N256" s="90"/>
    </row>
    <row r="257" spans="8:14" x14ac:dyDescent="0.25">
      <c r="H257" s="91"/>
      <c r="I257" s="91"/>
      <c r="J257" s="97"/>
      <c r="K257" s="79"/>
      <c r="L257" s="79"/>
      <c r="M257" s="79" t="str">
        <f>Table72818224[[#This Row],[DBA]]&amp;" - "&amp;Table72818224[[#This Row],[BIN]]&amp;" - "&amp;Table72818224[[#This Row],[CAID]]</f>
        <v xml:space="preserve"> -  - </v>
      </c>
      <c r="N257" s="90"/>
    </row>
    <row r="258" spans="8:14" x14ac:dyDescent="0.25">
      <c r="H258" s="91"/>
      <c r="I258" s="91"/>
      <c r="J258" s="97"/>
      <c r="K258" s="79"/>
      <c r="L258" s="79"/>
      <c r="M258" s="79" t="str">
        <f>Table72818224[[#This Row],[DBA]]&amp;" - "&amp;Table72818224[[#This Row],[BIN]]&amp;" - "&amp;Table72818224[[#This Row],[CAID]]</f>
        <v xml:space="preserve"> -  - </v>
      </c>
      <c r="N258" s="90"/>
    </row>
    <row r="259" spans="8:14" x14ac:dyDescent="0.25">
      <c r="H259" s="91"/>
      <c r="I259" s="91"/>
      <c r="J259" s="97"/>
      <c r="K259" s="79"/>
      <c r="L259" s="79"/>
      <c r="M259" s="79" t="str">
        <f>Table72818224[[#This Row],[DBA]]&amp;" - "&amp;Table72818224[[#This Row],[BIN]]&amp;" - "&amp;Table72818224[[#This Row],[CAID]]</f>
        <v xml:space="preserve"> -  - </v>
      </c>
      <c r="N259" s="90"/>
    </row>
    <row r="260" spans="8:14" x14ac:dyDescent="0.25">
      <c r="H260" s="91"/>
      <c r="I260" s="91"/>
      <c r="J260" s="97"/>
      <c r="K260" s="79"/>
      <c r="L260" s="79"/>
      <c r="M260" s="79" t="str">
        <f>Table72818224[[#This Row],[DBA]]&amp;" - "&amp;Table72818224[[#This Row],[BIN]]&amp;" - "&amp;Table72818224[[#This Row],[CAID]]</f>
        <v xml:space="preserve"> -  - </v>
      </c>
      <c r="N260" s="90"/>
    </row>
    <row r="261" spans="8:14" x14ac:dyDescent="0.25">
      <c r="H261" s="91"/>
      <c r="I261" s="91"/>
      <c r="J261" s="97"/>
      <c r="K261" s="79"/>
      <c r="L261" s="79"/>
      <c r="M261" s="79" t="str">
        <f>Table72818224[[#This Row],[DBA]]&amp;" - "&amp;Table72818224[[#This Row],[BIN]]&amp;" - "&amp;Table72818224[[#This Row],[CAID]]</f>
        <v xml:space="preserve"> -  - </v>
      </c>
      <c r="N261" s="90"/>
    </row>
    <row r="262" spans="8:14" x14ac:dyDescent="0.25">
      <c r="H262" s="91"/>
      <c r="I262" s="91"/>
      <c r="J262" s="97"/>
      <c r="K262" s="79"/>
      <c r="L262" s="79"/>
      <c r="M262" s="79" t="str">
        <f>Table72818224[[#This Row],[DBA]]&amp;" - "&amp;Table72818224[[#This Row],[BIN]]&amp;" - "&amp;Table72818224[[#This Row],[CAID]]</f>
        <v xml:space="preserve"> -  - </v>
      </c>
      <c r="N262" s="90"/>
    </row>
    <row r="263" spans="8:14" x14ac:dyDescent="0.25">
      <c r="H263" s="91"/>
      <c r="I263" s="91"/>
      <c r="J263" s="97"/>
      <c r="K263" s="79"/>
      <c r="L263" s="79"/>
      <c r="M263" s="79" t="str">
        <f>Table72818224[[#This Row],[DBA]]&amp;" - "&amp;Table72818224[[#This Row],[BIN]]&amp;" - "&amp;Table72818224[[#This Row],[CAID]]</f>
        <v xml:space="preserve"> -  - </v>
      </c>
      <c r="N263" s="90"/>
    </row>
    <row r="264" spans="8:14" x14ac:dyDescent="0.25">
      <c r="H264" s="91"/>
      <c r="I264" s="91"/>
      <c r="J264" s="97"/>
      <c r="K264" s="79"/>
      <c r="L264" s="79"/>
      <c r="M264" s="79" t="str">
        <f>Table72818224[[#This Row],[DBA]]&amp;" - "&amp;Table72818224[[#This Row],[BIN]]&amp;" - "&amp;Table72818224[[#This Row],[CAID]]</f>
        <v xml:space="preserve"> -  - </v>
      </c>
      <c r="N264" s="90"/>
    </row>
    <row r="265" spans="8:14" x14ac:dyDescent="0.25">
      <c r="H265" s="91"/>
      <c r="I265" s="91"/>
      <c r="J265" s="97"/>
      <c r="K265" s="79"/>
      <c r="L265" s="79"/>
      <c r="M265" s="79" t="str">
        <f>Table72818224[[#This Row],[DBA]]&amp;" - "&amp;Table72818224[[#This Row],[BIN]]&amp;" - "&amp;Table72818224[[#This Row],[CAID]]</f>
        <v xml:space="preserve"> -  - </v>
      </c>
      <c r="N265" s="90"/>
    </row>
    <row r="266" spans="8:14" x14ac:dyDescent="0.25">
      <c r="H266" s="91"/>
      <c r="I266" s="91"/>
      <c r="J266" s="97"/>
      <c r="K266" s="79"/>
      <c r="L266" s="79"/>
      <c r="M266" s="79" t="str">
        <f>Table72818224[[#This Row],[DBA]]&amp;" - "&amp;Table72818224[[#This Row],[BIN]]&amp;" - "&amp;Table72818224[[#This Row],[CAID]]</f>
        <v xml:space="preserve"> -  - </v>
      </c>
      <c r="N266" s="90"/>
    </row>
    <row r="267" spans="8:14" x14ac:dyDescent="0.25">
      <c r="H267" s="91"/>
      <c r="I267" s="91"/>
      <c r="J267" s="97"/>
      <c r="K267" s="79"/>
      <c r="L267" s="79"/>
      <c r="M267" s="79" t="str">
        <f>Table72818224[[#This Row],[DBA]]&amp;" - "&amp;Table72818224[[#This Row],[BIN]]&amp;" - "&amp;Table72818224[[#This Row],[CAID]]</f>
        <v xml:space="preserve"> -  - </v>
      </c>
      <c r="N267" s="90"/>
    </row>
    <row r="268" spans="8:14" x14ac:dyDescent="0.25">
      <c r="H268" s="91"/>
      <c r="I268" s="91"/>
      <c r="J268" s="97"/>
      <c r="K268" s="79"/>
      <c r="L268" s="79"/>
      <c r="M268" s="79" t="str">
        <f>Table72818224[[#This Row],[DBA]]&amp;" - "&amp;Table72818224[[#This Row],[BIN]]&amp;" - "&amp;Table72818224[[#This Row],[CAID]]</f>
        <v xml:space="preserve"> -  - </v>
      </c>
      <c r="N268" s="90"/>
    </row>
    <row r="269" spans="8:14" x14ac:dyDescent="0.25">
      <c r="H269" s="91"/>
      <c r="I269" s="91"/>
      <c r="J269" s="97"/>
      <c r="K269" s="79"/>
      <c r="L269" s="79"/>
      <c r="M269" s="79" t="str">
        <f>Table72818224[[#This Row],[DBA]]&amp;" - "&amp;Table72818224[[#This Row],[BIN]]&amp;" - "&amp;Table72818224[[#This Row],[CAID]]</f>
        <v xml:space="preserve"> -  - </v>
      </c>
      <c r="N269" s="90"/>
    </row>
    <row r="270" spans="8:14" x14ac:dyDescent="0.25">
      <c r="H270" s="91"/>
      <c r="I270" s="91"/>
      <c r="J270" s="97"/>
      <c r="K270" s="79"/>
      <c r="L270" s="79"/>
      <c r="M270" s="79" t="str">
        <f>Table72818224[[#This Row],[DBA]]&amp;" - "&amp;Table72818224[[#This Row],[BIN]]&amp;" - "&amp;Table72818224[[#This Row],[CAID]]</f>
        <v xml:space="preserve"> -  - </v>
      </c>
      <c r="N270" s="90"/>
    </row>
    <row r="271" spans="8:14" x14ac:dyDescent="0.25">
      <c r="H271" s="91"/>
      <c r="I271" s="91"/>
      <c r="J271" s="97"/>
      <c r="K271" s="79"/>
      <c r="L271" s="79"/>
      <c r="M271" s="79" t="str">
        <f>Table72818224[[#This Row],[DBA]]&amp;" - "&amp;Table72818224[[#This Row],[BIN]]&amp;" - "&amp;Table72818224[[#This Row],[CAID]]</f>
        <v xml:space="preserve"> -  - </v>
      </c>
      <c r="N271" s="90"/>
    </row>
    <row r="272" spans="8:14" x14ac:dyDescent="0.25">
      <c r="H272" s="91"/>
      <c r="I272" s="91"/>
      <c r="J272" s="97"/>
      <c r="K272" s="79"/>
      <c r="L272" s="79"/>
      <c r="M272" s="79" t="str">
        <f>Table72818224[[#This Row],[DBA]]&amp;" - "&amp;Table72818224[[#This Row],[BIN]]&amp;" - "&amp;Table72818224[[#This Row],[CAID]]</f>
        <v xml:space="preserve"> -  - </v>
      </c>
      <c r="N272" s="90"/>
    </row>
    <row r="273" spans="8:14" x14ac:dyDescent="0.25">
      <c r="H273" s="91"/>
      <c r="I273" s="91"/>
      <c r="J273" s="97"/>
      <c r="K273" s="79"/>
      <c r="L273" s="79"/>
      <c r="M273" s="79" t="str">
        <f>Table72818224[[#This Row],[DBA]]&amp;" - "&amp;Table72818224[[#This Row],[BIN]]&amp;" - "&amp;Table72818224[[#This Row],[CAID]]</f>
        <v xml:space="preserve"> -  - </v>
      </c>
      <c r="N273" s="90"/>
    </row>
    <row r="274" spans="8:14" x14ac:dyDescent="0.25">
      <c r="H274" s="91"/>
      <c r="I274" s="91"/>
      <c r="J274" s="97"/>
      <c r="K274" s="79"/>
      <c r="L274" s="79"/>
      <c r="M274" s="79" t="str">
        <f>Table72818224[[#This Row],[DBA]]&amp;" - "&amp;Table72818224[[#This Row],[BIN]]&amp;" - "&amp;Table72818224[[#This Row],[CAID]]</f>
        <v xml:space="preserve"> -  - </v>
      </c>
      <c r="N274" s="90"/>
    </row>
    <row r="275" spans="8:14" x14ac:dyDescent="0.25">
      <c r="H275" s="91"/>
      <c r="I275" s="91"/>
      <c r="J275" s="97"/>
      <c r="K275" s="79"/>
      <c r="L275" s="79"/>
      <c r="M275" s="79" t="str">
        <f>Table72818224[[#This Row],[DBA]]&amp;" - "&amp;Table72818224[[#This Row],[BIN]]&amp;" - "&amp;Table72818224[[#This Row],[CAID]]</f>
        <v xml:space="preserve"> -  - </v>
      </c>
      <c r="N275" s="90"/>
    </row>
    <row r="276" spans="8:14" x14ac:dyDescent="0.25">
      <c r="H276" s="91"/>
      <c r="I276" s="91"/>
      <c r="J276" s="97"/>
      <c r="K276" s="79"/>
      <c r="L276" s="79"/>
      <c r="M276" s="79" t="str">
        <f>Table72818224[[#This Row],[DBA]]&amp;" - "&amp;Table72818224[[#This Row],[BIN]]&amp;" - "&amp;Table72818224[[#This Row],[CAID]]</f>
        <v xml:space="preserve"> -  - </v>
      </c>
      <c r="N276" s="90"/>
    </row>
    <row r="277" spans="8:14" x14ac:dyDescent="0.25">
      <c r="H277" s="91"/>
      <c r="I277" s="91"/>
      <c r="J277" s="97"/>
      <c r="K277" s="79"/>
      <c r="L277" s="79"/>
      <c r="M277" s="79" t="str">
        <f>Table72818224[[#This Row],[DBA]]&amp;" - "&amp;Table72818224[[#This Row],[BIN]]&amp;" - "&amp;Table72818224[[#This Row],[CAID]]</f>
        <v xml:space="preserve"> -  - </v>
      </c>
      <c r="N277" s="90"/>
    </row>
    <row r="278" spans="8:14" x14ac:dyDescent="0.25">
      <c r="H278" s="91"/>
      <c r="I278" s="91"/>
      <c r="J278" s="97"/>
      <c r="K278" s="79"/>
      <c r="L278" s="79"/>
      <c r="M278" s="79" t="str">
        <f>Table72818224[[#This Row],[DBA]]&amp;" - "&amp;Table72818224[[#This Row],[BIN]]&amp;" - "&amp;Table72818224[[#This Row],[CAID]]</f>
        <v xml:space="preserve"> -  - </v>
      </c>
      <c r="N278" s="90"/>
    </row>
    <row r="279" spans="8:14" x14ac:dyDescent="0.25">
      <c r="H279" s="91"/>
      <c r="I279" s="91"/>
      <c r="J279" s="97"/>
      <c r="K279" s="79"/>
      <c r="L279" s="79"/>
      <c r="M279" s="79" t="str">
        <f>Table72818224[[#This Row],[DBA]]&amp;" - "&amp;Table72818224[[#This Row],[BIN]]&amp;" - "&amp;Table72818224[[#This Row],[CAID]]</f>
        <v xml:space="preserve"> -  - </v>
      </c>
      <c r="N279" s="90"/>
    </row>
    <row r="280" spans="8:14" x14ac:dyDescent="0.25">
      <c r="H280" s="91"/>
      <c r="I280" s="91"/>
      <c r="J280" s="97"/>
      <c r="K280" s="79"/>
      <c r="L280" s="79"/>
      <c r="M280" s="79" t="str">
        <f>Table72818224[[#This Row],[DBA]]&amp;" - "&amp;Table72818224[[#This Row],[BIN]]&amp;" - "&amp;Table72818224[[#This Row],[CAID]]</f>
        <v xml:space="preserve"> -  - </v>
      </c>
      <c r="N280" s="90"/>
    </row>
    <row r="281" spans="8:14" x14ac:dyDescent="0.25">
      <c r="H281" s="91"/>
      <c r="I281" s="91"/>
      <c r="J281" s="97"/>
      <c r="K281" s="79"/>
      <c r="L281" s="79"/>
      <c r="M281" s="79" t="str">
        <f>Table72818224[[#This Row],[DBA]]&amp;" - "&amp;Table72818224[[#This Row],[BIN]]&amp;" - "&amp;Table72818224[[#This Row],[CAID]]</f>
        <v xml:space="preserve"> -  - </v>
      </c>
      <c r="N281" s="90"/>
    </row>
    <row r="282" spans="8:14" x14ac:dyDescent="0.25">
      <c r="H282" s="91"/>
      <c r="I282" s="91"/>
      <c r="J282" s="97"/>
      <c r="K282" s="79"/>
      <c r="L282" s="79"/>
      <c r="M282" s="79" t="str">
        <f>Table72818224[[#This Row],[DBA]]&amp;" - "&amp;Table72818224[[#This Row],[BIN]]&amp;" - "&amp;Table72818224[[#This Row],[CAID]]</f>
        <v xml:space="preserve"> -  - </v>
      </c>
      <c r="N282" s="90"/>
    </row>
    <row r="283" spans="8:14" x14ac:dyDescent="0.25">
      <c r="H283" s="91"/>
      <c r="I283" s="91"/>
      <c r="J283" s="97"/>
      <c r="K283" s="79"/>
      <c r="L283" s="79"/>
      <c r="M283" s="79" t="str">
        <f>Table72818224[[#This Row],[DBA]]&amp;" - "&amp;Table72818224[[#This Row],[BIN]]&amp;" - "&amp;Table72818224[[#This Row],[CAID]]</f>
        <v xml:space="preserve"> -  - </v>
      </c>
      <c r="N283" s="90"/>
    </row>
    <row r="284" spans="8:14" x14ac:dyDescent="0.25">
      <c r="H284" s="91"/>
      <c r="I284" s="91"/>
      <c r="J284" s="97"/>
      <c r="K284" s="79"/>
      <c r="L284" s="79"/>
      <c r="M284" s="79" t="str">
        <f>Table72818224[[#This Row],[DBA]]&amp;" - "&amp;Table72818224[[#This Row],[BIN]]&amp;" - "&amp;Table72818224[[#This Row],[CAID]]</f>
        <v xml:space="preserve"> -  - </v>
      </c>
      <c r="N284" s="90"/>
    </row>
    <row r="285" spans="8:14" x14ac:dyDescent="0.25">
      <c r="H285" s="91"/>
      <c r="I285" s="91"/>
      <c r="J285" s="97"/>
      <c r="K285" s="79"/>
      <c r="L285" s="79"/>
      <c r="M285" s="79" t="str">
        <f>Table72818224[[#This Row],[DBA]]&amp;" - "&amp;Table72818224[[#This Row],[BIN]]&amp;" - "&amp;Table72818224[[#This Row],[CAID]]</f>
        <v xml:space="preserve"> -  - </v>
      </c>
      <c r="N285" s="90"/>
    </row>
    <row r="286" spans="8:14" x14ac:dyDescent="0.25">
      <c r="H286" s="91"/>
      <c r="I286" s="91"/>
      <c r="J286" s="97"/>
      <c r="K286" s="79"/>
      <c r="L286" s="79"/>
      <c r="M286" s="79" t="str">
        <f>Table72818224[[#This Row],[DBA]]&amp;" - "&amp;Table72818224[[#This Row],[BIN]]&amp;" - "&amp;Table72818224[[#This Row],[CAID]]</f>
        <v xml:space="preserve"> -  - </v>
      </c>
      <c r="N286" s="90"/>
    </row>
    <row r="287" spans="8:14" x14ac:dyDescent="0.25">
      <c r="H287" s="91"/>
      <c r="I287" s="91"/>
      <c r="J287" s="97"/>
      <c r="K287" s="79"/>
      <c r="L287" s="79"/>
      <c r="M287" s="79" t="str">
        <f>Table72818224[[#This Row],[DBA]]&amp;" - "&amp;Table72818224[[#This Row],[BIN]]&amp;" - "&amp;Table72818224[[#This Row],[CAID]]</f>
        <v xml:space="preserve"> -  - </v>
      </c>
      <c r="N287" s="90"/>
    </row>
    <row r="288" spans="8:14" x14ac:dyDescent="0.25">
      <c r="H288" s="91"/>
      <c r="I288" s="91"/>
      <c r="J288" s="97"/>
      <c r="K288" s="79"/>
      <c r="L288" s="79"/>
      <c r="M288" s="79" t="str">
        <f>Table72818224[[#This Row],[DBA]]&amp;" - "&amp;Table72818224[[#This Row],[BIN]]&amp;" - "&amp;Table72818224[[#This Row],[CAID]]</f>
        <v xml:space="preserve"> -  - </v>
      </c>
      <c r="N288" s="90"/>
    </row>
    <row r="289" spans="8:14" x14ac:dyDescent="0.25">
      <c r="H289" s="91"/>
      <c r="I289" s="91"/>
      <c r="J289" s="97"/>
      <c r="K289" s="79"/>
      <c r="L289" s="79"/>
      <c r="M289" s="79" t="str">
        <f>Table72818224[[#This Row],[DBA]]&amp;" - "&amp;Table72818224[[#This Row],[BIN]]&amp;" - "&amp;Table72818224[[#This Row],[CAID]]</f>
        <v xml:space="preserve"> -  - </v>
      </c>
      <c r="N289" s="90"/>
    </row>
    <row r="290" spans="8:14" x14ac:dyDescent="0.25">
      <c r="H290" s="91"/>
      <c r="I290" s="91"/>
      <c r="J290" s="97"/>
      <c r="K290" s="79"/>
      <c r="L290" s="79"/>
      <c r="M290" s="79" t="str">
        <f>Table72818224[[#This Row],[DBA]]&amp;" - "&amp;Table72818224[[#This Row],[BIN]]&amp;" - "&amp;Table72818224[[#This Row],[CAID]]</f>
        <v xml:space="preserve"> -  - </v>
      </c>
      <c r="N290" s="90"/>
    </row>
    <row r="291" spans="8:14" x14ac:dyDescent="0.25">
      <c r="H291" s="91"/>
      <c r="I291" s="91"/>
      <c r="J291" s="97"/>
      <c r="K291" s="79"/>
      <c r="L291" s="79"/>
      <c r="M291" s="79" t="str">
        <f>Table72818224[[#This Row],[DBA]]&amp;" - "&amp;Table72818224[[#This Row],[BIN]]&amp;" - "&amp;Table72818224[[#This Row],[CAID]]</f>
        <v xml:space="preserve"> -  - </v>
      </c>
      <c r="N291" s="90"/>
    </row>
    <row r="292" spans="8:14" x14ac:dyDescent="0.25">
      <c r="H292" s="91"/>
      <c r="I292" s="91"/>
      <c r="J292" s="97"/>
      <c r="K292" s="79"/>
      <c r="L292" s="79"/>
      <c r="M292" s="79" t="str">
        <f>Table72818224[[#This Row],[DBA]]&amp;" - "&amp;Table72818224[[#This Row],[BIN]]&amp;" - "&amp;Table72818224[[#This Row],[CAID]]</f>
        <v xml:space="preserve"> -  - </v>
      </c>
      <c r="N292" s="90"/>
    </row>
    <row r="293" spans="8:14" x14ac:dyDescent="0.25">
      <c r="H293" s="91"/>
      <c r="I293" s="91"/>
      <c r="J293" s="97"/>
      <c r="K293" s="79"/>
      <c r="L293" s="79"/>
      <c r="M293" s="79" t="str">
        <f>Table72818224[[#This Row],[DBA]]&amp;" - "&amp;Table72818224[[#This Row],[BIN]]&amp;" - "&amp;Table72818224[[#This Row],[CAID]]</f>
        <v xml:space="preserve"> -  - </v>
      </c>
      <c r="N293" s="90"/>
    </row>
    <row r="294" spans="8:14" x14ac:dyDescent="0.25">
      <c r="H294" s="91"/>
      <c r="I294" s="91"/>
      <c r="J294" s="97"/>
      <c r="K294" s="79"/>
      <c r="L294" s="79"/>
      <c r="M294" s="79" t="str">
        <f>Table72818224[[#This Row],[DBA]]&amp;" - "&amp;Table72818224[[#This Row],[BIN]]&amp;" - "&amp;Table72818224[[#This Row],[CAID]]</f>
        <v xml:space="preserve"> -  - </v>
      </c>
      <c r="N294" s="90"/>
    </row>
    <row r="295" spans="8:14" x14ac:dyDescent="0.25">
      <c r="H295" s="91"/>
      <c r="I295" s="91"/>
      <c r="J295" s="97"/>
      <c r="K295" s="79"/>
      <c r="L295" s="79"/>
      <c r="M295" s="79" t="str">
        <f>Table72818224[[#This Row],[DBA]]&amp;" - "&amp;Table72818224[[#This Row],[BIN]]&amp;" - "&amp;Table72818224[[#This Row],[CAID]]</f>
        <v xml:space="preserve"> -  - </v>
      </c>
      <c r="N295" s="90"/>
    </row>
    <row r="296" spans="8:14" x14ac:dyDescent="0.25">
      <c r="H296" s="91"/>
      <c r="I296" s="91"/>
      <c r="J296" s="97"/>
      <c r="K296" s="79"/>
      <c r="L296" s="79"/>
      <c r="M296" s="79" t="str">
        <f>Table72818224[[#This Row],[DBA]]&amp;" - "&amp;Table72818224[[#This Row],[BIN]]&amp;" - "&amp;Table72818224[[#This Row],[CAID]]</f>
        <v xml:space="preserve"> -  - </v>
      </c>
      <c r="N296" s="90"/>
    </row>
    <row r="297" spans="8:14" x14ac:dyDescent="0.25">
      <c r="H297" s="91"/>
      <c r="I297" s="91"/>
      <c r="J297" s="97"/>
      <c r="K297" s="79"/>
      <c r="L297" s="79"/>
      <c r="M297" s="79" t="str">
        <f>Table72818224[[#This Row],[DBA]]&amp;" - "&amp;Table72818224[[#This Row],[BIN]]&amp;" - "&amp;Table72818224[[#This Row],[CAID]]</f>
        <v xml:space="preserve"> -  - </v>
      </c>
      <c r="N297" s="90"/>
    </row>
    <row r="298" spans="8:14" x14ac:dyDescent="0.25">
      <c r="H298" s="91"/>
      <c r="I298" s="91"/>
      <c r="J298" s="97"/>
      <c r="K298" s="79"/>
      <c r="L298" s="79"/>
      <c r="M298" s="79" t="str">
        <f>Table72818224[[#This Row],[DBA]]&amp;" - "&amp;Table72818224[[#This Row],[BIN]]&amp;" - "&amp;Table72818224[[#This Row],[CAID]]</f>
        <v xml:space="preserve"> -  - </v>
      </c>
      <c r="N298" s="90"/>
    </row>
    <row r="299" spans="8:14" x14ac:dyDescent="0.25">
      <c r="H299" s="91"/>
      <c r="I299" s="91"/>
      <c r="J299" s="97"/>
      <c r="K299" s="79"/>
      <c r="L299" s="79"/>
      <c r="M299" s="79" t="str">
        <f>Table72818224[[#This Row],[DBA]]&amp;" - "&amp;Table72818224[[#This Row],[BIN]]&amp;" - "&amp;Table72818224[[#This Row],[CAID]]</f>
        <v xml:space="preserve"> -  - </v>
      </c>
      <c r="N299" s="90"/>
    </row>
    <row r="300" spans="8:14" x14ac:dyDescent="0.25">
      <c r="H300" s="91"/>
      <c r="I300" s="91"/>
      <c r="J300" s="97"/>
      <c r="K300" s="79"/>
      <c r="L300" s="79"/>
      <c r="M300" s="79" t="str">
        <f>Table72818224[[#This Row],[DBA]]&amp;" - "&amp;Table72818224[[#This Row],[BIN]]&amp;" - "&amp;Table72818224[[#This Row],[CAID]]</f>
        <v xml:space="preserve"> -  - </v>
      </c>
      <c r="N300" s="90"/>
    </row>
    <row r="301" spans="8:14" x14ac:dyDescent="0.25">
      <c r="H301" s="91"/>
      <c r="I301" s="91"/>
      <c r="J301" s="97"/>
      <c r="K301" s="79"/>
      <c r="L301" s="79"/>
      <c r="M301" s="79" t="str">
        <f>Table72818224[[#This Row],[DBA]]&amp;" - "&amp;Table72818224[[#This Row],[BIN]]&amp;" - "&amp;Table72818224[[#This Row],[CAID]]</f>
        <v xml:space="preserve"> -  - </v>
      </c>
      <c r="N301" s="90"/>
    </row>
    <row r="302" spans="8:14" x14ac:dyDescent="0.25">
      <c r="H302" s="91"/>
      <c r="I302" s="91"/>
      <c r="J302" s="97"/>
      <c r="K302" s="79"/>
      <c r="L302" s="79"/>
      <c r="M302" s="79" t="str">
        <f>Table72818224[[#This Row],[DBA]]&amp;" - "&amp;Table72818224[[#This Row],[BIN]]&amp;" - "&amp;Table72818224[[#This Row],[CAID]]</f>
        <v xml:space="preserve"> -  - </v>
      </c>
      <c r="N302" s="90"/>
    </row>
    <row r="303" spans="8:14" x14ac:dyDescent="0.25">
      <c r="H303" s="91"/>
      <c r="I303" s="91"/>
      <c r="J303" s="97"/>
      <c r="K303" s="79"/>
      <c r="L303" s="79"/>
      <c r="M303" s="79" t="str">
        <f>Table72818224[[#This Row],[DBA]]&amp;" - "&amp;Table72818224[[#This Row],[BIN]]&amp;" - "&amp;Table72818224[[#This Row],[CAID]]</f>
        <v xml:space="preserve"> -  - </v>
      </c>
      <c r="N303" s="90"/>
    </row>
    <row r="304" spans="8:14" x14ac:dyDescent="0.25">
      <c r="H304" s="91"/>
      <c r="I304" s="91"/>
      <c r="J304" s="97"/>
      <c r="K304" s="79"/>
      <c r="L304" s="79"/>
      <c r="M304" s="79" t="str">
        <f>Table72818224[[#This Row],[DBA]]&amp;" - "&amp;Table72818224[[#This Row],[BIN]]&amp;" - "&amp;Table72818224[[#This Row],[CAID]]</f>
        <v xml:space="preserve"> -  - </v>
      </c>
      <c r="N304" s="90"/>
    </row>
    <row r="305" spans="8:14" x14ac:dyDescent="0.25">
      <c r="H305" s="91"/>
      <c r="I305" s="91"/>
      <c r="J305" s="97"/>
      <c r="K305" s="79"/>
      <c r="L305" s="79"/>
      <c r="M305" s="79" t="str">
        <f>Table72818224[[#This Row],[DBA]]&amp;" - "&amp;Table72818224[[#This Row],[BIN]]&amp;" - "&amp;Table72818224[[#This Row],[CAID]]</f>
        <v xml:space="preserve"> -  - </v>
      </c>
      <c r="N305" s="90"/>
    </row>
    <row r="306" spans="8:14" x14ac:dyDescent="0.25">
      <c r="H306" s="92"/>
      <c r="I306" s="92"/>
      <c r="J306" s="97"/>
      <c r="K306" s="89"/>
      <c r="L306" s="89"/>
      <c r="M306" s="89" t="str">
        <f>Table72818224[[#This Row],[DBA]]&amp;" - "&amp;Table72818224[[#This Row],[BIN]]&amp;" - "&amp;Table72818224[[#This Row],[CAID]]</f>
        <v xml:space="preserve"> -  - </v>
      </c>
      <c r="N306" s="90"/>
    </row>
  </sheetData>
  <mergeCells count="5">
    <mergeCell ref="C2:D2"/>
    <mergeCell ref="C3:D3"/>
    <mergeCell ref="C4:D4"/>
    <mergeCell ref="C6:D6"/>
    <mergeCell ref="H6:O6"/>
  </mergeCells>
  <dataValidations count="11">
    <dataValidation allowBlank="1" showInputMessage="1" showErrorMessage="1" promptTitle="Rule Name" prompt="Rule Name is the rule identifier created by the seller and made available in reporting for insight into why an RDR case_x000a_was accepted. _x000a__x000a_Keep rule names short, explicit, and clear enough to be referenced in RDR communications. _x000a__x000a_" sqref="C6:D6" xr:uid="{C57A5D69-31D6-46B2-9622-306C8CD49CAE}"/>
    <dataValidation allowBlank="1" showInputMessage="1" showErrorMessage="1" promptTitle="ARN (Acquirer Reference Number)" prompt="ARN (Acquirer Reference Number)" sqref="J9:J306" xr:uid="{DBD085C0-BA29-4FA1-BB29-842244EE2CD8}"/>
    <dataValidation allowBlank="1" showInputMessage="1" showErrorMessage="1" promptTitle="Merchant ID" prompt="This cell contains the Merchant ID for the Merchant account.  This will be populated by Verifi" sqref="N9:N306" xr:uid="{0B877829-A75F-4E53-99DD-DAEA42B6F177}"/>
    <dataValidation allowBlank="1" showInputMessage="1" showErrorMessage="1" promptTitle="Merchant Category Code" prompt="This is the Merchant Category Code associated with the BIN/CAID" sqref="K9:K306" xr:uid="{BE080CEC-E2D4-459C-ABE6-1A3223FB8E28}"/>
    <dataValidation type="textLength" allowBlank="1" showInputMessage="1" showErrorMessage="1" promptTitle="DBA" prompt="DBA can only be up to 20 characters" sqref="L9:L306" xr:uid="{B8257A9B-B262-47FF-8BA2-2C546E6BF479}">
      <formula1>0</formula1>
      <formula2>20</formula2>
    </dataValidation>
    <dataValidation allowBlank="1" showInputMessage="1" showErrorMessage="1" promptTitle="Do not change this cell" prompt="The function attached will create the merchant name.  This is for Verifi Only" sqref="M9:M306" xr:uid="{F77EE682-0964-4EB0-A059-56149E68C312}"/>
    <dataValidation type="textLength" allowBlank="1" showInputMessage="1" showErrorMessage="1" promptTitle="CAID" prompt="CAID cannot be greater than 15 characters" sqref="I9:I306" xr:uid="{8877BB20-1804-42D3-97FD-1785D9524468}">
      <formula1>0</formula1>
      <formula2>15</formula2>
    </dataValidation>
    <dataValidation type="textLength" allowBlank="1" showInputMessage="1" showErrorMessage="1" promptTitle="BIN" prompt="The BIN has to be 6 characters only" sqref="H9:H306" xr:uid="{EE43C60E-40CB-4191-8A5C-271234D3A4CF}">
      <formula1>6</formula1>
      <formula2>6</formula2>
    </dataValidation>
    <dataValidation type="list" allowBlank="1" showInputMessage="1" showErrorMessage="1" sqref="B10:B11 B15 B20 B25 B30 B35 B40" xr:uid="{089F8570-BC51-49B0-A645-DDAC8E71DEE0}">
      <formula1>Rule</formula1>
    </dataValidation>
    <dataValidation type="list" allowBlank="1" showInputMessage="1" showErrorMessage="1" sqref="C15 C20 C25 C30 C35 C40 C10:C11" xr:uid="{26174941-ABCF-4D4E-83E7-4EFF81146D86}">
      <formula1>INDIRECT(B10)</formula1>
    </dataValidation>
    <dataValidation type="list" allowBlank="1" showInputMessage="1" sqref="D15 D20 D25 D30 D35 D40 D10:D11" xr:uid="{004CD1DA-0F86-4E82-A53A-5FEA4AA61F31}">
      <formula1>INDIRECT(SUBSTITUTE(B10&amp;C10," ",""))</formula1>
    </dataValidation>
  </dataValidations>
  <pageMargins left="0.75" right="0.75" top="0.75" bottom="0.75" header="0.5" footer="0.5"/>
  <pageSetup orientation="portrait" r:id="rId1"/>
  <headerFooter alignWithMargins="0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D08F3-BF84-4F16-9558-2B1228B10950}">
  <dimension ref="B1:O306"/>
  <sheetViews>
    <sheetView showGridLines="0" workbookViewId="0">
      <selection activeCell="C2" sqref="C2:D2"/>
    </sheetView>
  </sheetViews>
  <sheetFormatPr defaultColWidth="8.77734375" defaultRowHeight="13.2" x14ac:dyDescent="0.25"/>
  <cols>
    <col min="1" max="1" width="2.21875" style="3" customWidth="1"/>
    <col min="2" max="2" width="24.77734375" style="3" bestFit="1" customWidth="1"/>
    <col min="3" max="3" width="22.77734375" style="3" customWidth="1"/>
    <col min="4" max="4" width="41.21875" style="3" bestFit="1" customWidth="1"/>
    <col min="5" max="5" width="13.21875" style="3" customWidth="1"/>
    <col min="6" max="6" width="8.77734375" style="3"/>
    <col min="7" max="7" width="14.44140625" style="3" customWidth="1"/>
    <col min="8" max="8" width="10.21875" style="3" customWidth="1"/>
    <col min="9" max="10" width="25.21875" style="3" customWidth="1"/>
    <col min="11" max="11" width="12.44140625" style="3" bestFit="1" customWidth="1"/>
    <col min="12" max="12" width="12.44140625" style="3" customWidth="1"/>
    <col min="13" max="13" width="34" style="3" bestFit="1" customWidth="1"/>
    <col min="14" max="14" width="28" style="3" customWidth="1"/>
    <col min="15" max="15" width="14.21875" style="3" bestFit="1" customWidth="1"/>
    <col min="16" max="16384" width="8.77734375" style="3"/>
  </cols>
  <sheetData>
    <row r="1" spans="2:15" ht="13.8" thickBot="1" x14ac:dyDescent="0.3"/>
    <row r="2" spans="2:15" ht="13.8" thickBot="1" x14ac:dyDescent="0.3">
      <c r="B2" s="100" t="s">
        <v>345</v>
      </c>
      <c r="C2" s="116" t="s">
        <v>347</v>
      </c>
      <c r="D2" s="117"/>
      <c r="I2" s="95"/>
      <c r="J2" s="95"/>
    </row>
    <row r="3" spans="2:15" ht="13.8" thickBot="1" x14ac:dyDescent="0.3">
      <c r="B3" s="101" t="s">
        <v>344</v>
      </c>
      <c r="C3" s="116">
        <v>11600</v>
      </c>
      <c r="D3" s="117"/>
      <c r="I3" s="95"/>
      <c r="J3" s="95"/>
    </row>
    <row r="4" spans="2:15" ht="13.8" thickBot="1" x14ac:dyDescent="0.3">
      <c r="B4" s="100" t="s">
        <v>332</v>
      </c>
      <c r="C4" s="112"/>
      <c r="D4" s="112"/>
      <c r="I4" s="95"/>
      <c r="J4" s="95"/>
    </row>
    <row r="5" spans="2:15" ht="13.8" thickBot="1" x14ac:dyDescent="0.3">
      <c r="B5" s="101" t="s">
        <v>343</v>
      </c>
      <c r="C5" s="102"/>
      <c r="D5" s="103"/>
      <c r="I5" s="95"/>
      <c r="J5" s="95"/>
    </row>
    <row r="6" spans="2:15" ht="13.8" thickBot="1" x14ac:dyDescent="0.3">
      <c r="B6" s="100" t="s">
        <v>334</v>
      </c>
      <c r="C6" s="112"/>
      <c r="D6" s="112"/>
      <c r="H6" s="113" t="s">
        <v>330</v>
      </c>
      <c r="I6" s="114"/>
      <c r="J6" s="114"/>
      <c r="K6" s="114"/>
      <c r="L6" s="114"/>
      <c r="M6" s="114"/>
      <c r="N6" s="114"/>
      <c r="O6" s="115"/>
    </row>
    <row r="7" spans="2:15" x14ac:dyDescent="0.25">
      <c r="B7" s="87"/>
      <c r="C7" s="87"/>
    </row>
    <row r="8" spans="2:15" ht="13.8" thickBot="1" x14ac:dyDescent="0.3">
      <c r="C8" s="13"/>
      <c r="H8" s="13" t="s">
        <v>84</v>
      </c>
      <c r="I8" s="13" t="s">
        <v>85</v>
      </c>
      <c r="J8" s="88" t="s">
        <v>342</v>
      </c>
      <c r="K8" s="88" t="s">
        <v>339</v>
      </c>
      <c r="L8" s="88" t="s">
        <v>333</v>
      </c>
      <c r="M8" s="93" t="s">
        <v>340</v>
      </c>
      <c r="N8" s="94" t="s">
        <v>341</v>
      </c>
    </row>
    <row r="9" spans="2:15" ht="18.75" customHeight="1" thickBot="1" x14ac:dyDescent="0.3">
      <c r="B9" s="80" t="s">
        <v>329</v>
      </c>
      <c r="C9" s="81" t="s">
        <v>64</v>
      </c>
      <c r="D9" s="82" t="s">
        <v>63</v>
      </c>
      <c r="H9" s="96"/>
      <c r="I9" s="96"/>
      <c r="J9" s="98"/>
      <c r="K9" s="99"/>
      <c r="L9" s="99"/>
      <c r="M9" s="90" t="str">
        <f>Table7281822432[[#This Row],[DBA]]&amp;" - "&amp;Table7281822432[[#This Row],[BIN]]&amp;" - "&amp;Table7281822432[[#This Row],[CAID]]</f>
        <v xml:space="preserve"> -  - </v>
      </c>
      <c r="N9" s="90"/>
    </row>
    <row r="10" spans="2:15" ht="13.8" thickBot="1" x14ac:dyDescent="0.3">
      <c r="B10" s="83"/>
      <c r="C10" s="84"/>
      <c r="D10" s="83"/>
      <c r="H10" s="91"/>
      <c r="I10" s="91"/>
      <c r="J10" s="97"/>
      <c r="K10" s="79"/>
      <c r="L10" s="79"/>
      <c r="M10" s="79" t="str">
        <f>Table7281822432[[#This Row],[DBA]]&amp;" - "&amp;Table7281822432[[#This Row],[BIN]]&amp;" - "&amp;Table7281822432[[#This Row],[CAID]]</f>
        <v xml:space="preserve"> -  - </v>
      </c>
      <c r="N10" s="90"/>
    </row>
    <row r="11" spans="2:15" x14ac:dyDescent="0.25">
      <c r="B11" s="85"/>
      <c r="C11" s="86"/>
      <c r="D11" s="85"/>
      <c r="H11" s="91"/>
      <c r="I11" s="91"/>
      <c r="J11" s="97"/>
      <c r="K11" s="79"/>
      <c r="L11" s="79"/>
      <c r="M11" s="79" t="str">
        <f>Table7281822432[[#This Row],[DBA]]&amp;" - "&amp;Table7281822432[[#This Row],[BIN]]&amp;" - "&amp;Table7281822432[[#This Row],[CAID]]</f>
        <v xml:space="preserve"> -  - </v>
      </c>
      <c r="N11" s="90"/>
    </row>
    <row r="12" spans="2:15" x14ac:dyDescent="0.25">
      <c r="C12" s="30" t="s">
        <v>83</v>
      </c>
      <c r="H12" s="91"/>
      <c r="I12" s="91"/>
      <c r="J12" s="97"/>
      <c r="K12" s="79"/>
      <c r="L12" s="79"/>
      <c r="M12" s="79" t="str">
        <f>Table7281822432[[#This Row],[DBA]]&amp;" - "&amp;Table7281822432[[#This Row],[BIN]]&amp;" - "&amp;Table7281822432[[#This Row],[CAID]]</f>
        <v xml:space="preserve"> -  - </v>
      </c>
      <c r="N12" s="90"/>
    </row>
    <row r="13" spans="2:15" ht="13.8" thickBot="1" x14ac:dyDescent="0.3">
      <c r="C13" s="29"/>
      <c r="H13" s="91"/>
      <c r="I13" s="91"/>
      <c r="J13" s="97"/>
      <c r="K13" s="79"/>
      <c r="L13" s="79"/>
      <c r="M13" s="79" t="str">
        <f>Table7281822432[[#This Row],[DBA]]&amp;" - "&amp;Table7281822432[[#This Row],[BIN]]&amp;" - "&amp;Table7281822432[[#This Row],[CAID]]</f>
        <v xml:space="preserve"> -  - </v>
      </c>
      <c r="N13" s="90"/>
    </row>
    <row r="14" spans="2:15" ht="13.8" thickBot="1" x14ac:dyDescent="0.3">
      <c r="B14" s="80" t="s">
        <v>329</v>
      </c>
      <c r="C14" s="81" t="s">
        <v>64</v>
      </c>
      <c r="D14" s="82" t="s">
        <v>63</v>
      </c>
      <c r="H14" s="91"/>
      <c r="I14" s="91"/>
      <c r="J14" s="97"/>
      <c r="K14" s="79"/>
      <c r="L14" s="79"/>
      <c r="M14" s="79" t="str">
        <f>Table7281822432[[#This Row],[DBA]]&amp;" - "&amp;Table7281822432[[#This Row],[BIN]]&amp;" - "&amp;Table7281822432[[#This Row],[CAID]]</f>
        <v xml:space="preserve"> -  - </v>
      </c>
      <c r="N14" s="90"/>
    </row>
    <row r="15" spans="2:15" ht="13.8" thickBot="1" x14ac:dyDescent="0.3">
      <c r="B15" s="83"/>
      <c r="C15" s="84"/>
      <c r="D15" s="83"/>
      <c r="H15" s="91"/>
      <c r="I15" s="91"/>
      <c r="J15" s="97"/>
      <c r="K15" s="79"/>
      <c r="L15" s="79"/>
      <c r="M15" s="79" t="str">
        <f>Table7281822432[[#This Row],[DBA]]&amp;" - "&amp;Table7281822432[[#This Row],[BIN]]&amp;" - "&amp;Table7281822432[[#This Row],[CAID]]</f>
        <v xml:space="preserve"> -  - </v>
      </c>
      <c r="N15" s="90"/>
    </row>
    <row r="16" spans="2:15" x14ac:dyDescent="0.25">
      <c r="H16" s="91"/>
      <c r="I16" s="91"/>
      <c r="J16" s="97"/>
      <c r="K16" s="79"/>
      <c r="L16" s="79"/>
      <c r="M16" s="79" t="str">
        <f>Table7281822432[[#This Row],[DBA]]&amp;" - "&amp;Table7281822432[[#This Row],[BIN]]&amp;" - "&amp;Table7281822432[[#This Row],[CAID]]</f>
        <v xml:space="preserve"> -  - </v>
      </c>
      <c r="N16" s="90"/>
    </row>
    <row r="17" spans="2:14" x14ac:dyDescent="0.25">
      <c r="C17" s="30" t="s">
        <v>83</v>
      </c>
      <c r="H17" s="91"/>
      <c r="I17" s="91"/>
      <c r="J17" s="97"/>
      <c r="K17" s="79"/>
      <c r="L17" s="79"/>
      <c r="M17" s="79" t="str">
        <f>Table7281822432[[#This Row],[DBA]]&amp;" - "&amp;Table7281822432[[#This Row],[BIN]]&amp;" - "&amp;Table7281822432[[#This Row],[CAID]]</f>
        <v xml:space="preserve"> -  - </v>
      </c>
      <c r="N17" s="90"/>
    </row>
    <row r="18" spans="2:14" ht="13.8" thickBot="1" x14ac:dyDescent="0.3">
      <c r="C18" s="29"/>
      <c r="H18" s="91"/>
      <c r="I18" s="91"/>
      <c r="J18" s="97"/>
      <c r="K18" s="79"/>
      <c r="L18" s="79"/>
      <c r="M18" s="79" t="str">
        <f>Table7281822432[[#This Row],[DBA]]&amp;" - "&amp;Table7281822432[[#This Row],[BIN]]&amp;" - "&amp;Table7281822432[[#This Row],[CAID]]</f>
        <v xml:space="preserve"> -  - </v>
      </c>
      <c r="N18" s="90"/>
    </row>
    <row r="19" spans="2:14" ht="13.8" thickBot="1" x14ac:dyDescent="0.3">
      <c r="B19" s="80" t="s">
        <v>329</v>
      </c>
      <c r="C19" s="81" t="s">
        <v>64</v>
      </c>
      <c r="D19" s="82" t="s">
        <v>63</v>
      </c>
      <c r="H19" s="91"/>
      <c r="I19" s="91"/>
      <c r="J19" s="97"/>
      <c r="K19" s="79"/>
      <c r="L19" s="79"/>
      <c r="M19" s="79" t="str">
        <f>Table7281822432[[#This Row],[DBA]]&amp;" - "&amp;Table7281822432[[#This Row],[BIN]]&amp;" - "&amp;Table7281822432[[#This Row],[CAID]]</f>
        <v xml:space="preserve"> -  - </v>
      </c>
      <c r="N19" s="90"/>
    </row>
    <row r="20" spans="2:14" ht="13.8" thickBot="1" x14ac:dyDescent="0.3">
      <c r="B20" s="83"/>
      <c r="C20" s="84"/>
      <c r="D20" s="83"/>
      <c r="H20" s="91"/>
      <c r="I20" s="91"/>
      <c r="J20" s="97"/>
      <c r="K20" s="79"/>
      <c r="L20" s="79"/>
      <c r="M20" s="79" t="str">
        <f>Table7281822432[[#This Row],[DBA]]&amp;" - "&amp;Table7281822432[[#This Row],[BIN]]&amp;" - "&amp;Table7281822432[[#This Row],[CAID]]</f>
        <v xml:space="preserve"> -  - </v>
      </c>
      <c r="N20" s="90"/>
    </row>
    <row r="21" spans="2:14" x14ac:dyDescent="0.25">
      <c r="H21" s="91"/>
      <c r="I21" s="91"/>
      <c r="J21" s="97"/>
      <c r="K21" s="79"/>
      <c r="L21" s="79"/>
      <c r="M21" s="79" t="str">
        <f>Table7281822432[[#This Row],[DBA]]&amp;" - "&amp;Table7281822432[[#This Row],[BIN]]&amp;" - "&amp;Table7281822432[[#This Row],[CAID]]</f>
        <v xml:space="preserve"> -  - </v>
      </c>
      <c r="N21" s="90"/>
    </row>
    <row r="22" spans="2:14" x14ac:dyDescent="0.25">
      <c r="C22" s="30" t="s">
        <v>83</v>
      </c>
      <c r="H22" s="91"/>
      <c r="I22" s="91"/>
      <c r="J22" s="97"/>
      <c r="K22" s="79"/>
      <c r="L22" s="79"/>
      <c r="M22" s="79" t="str">
        <f>Table7281822432[[#This Row],[DBA]]&amp;" - "&amp;Table7281822432[[#This Row],[BIN]]&amp;" - "&amp;Table7281822432[[#This Row],[CAID]]</f>
        <v xml:space="preserve"> -  - </v>
      </c>
      <c r="N22" s="90"/>
    </row>
    <row r="23" spans="2:14" ht="13.8" thickBot="1" x14ac:dyDescent="0.3">
      <c r="C23" s="29"/>
      <c r="H23" s="91"/>
      <c r="I23" s="91"/>
      <c r="J23" s="97"/>
      <c r="K23" s="79"/>
      <c r="L23" s="79"/>
      <c r="M23" s="79" t="str">
        <f>Table7281822432[[#This Row],[DBA]]&amp;" - "&amp;Table7281822432[[#This Row],[BIN]]&amp;" - "&amp;Table7281822432[[#This Row],[CAID]]</f>
        <v xml:space="preserve"> -  - </v>
      </c>
      <c r="N23" s="90"/>
    </row>
    <row r="24" spans="2:14" ht="13.8" thickBot="1" x14ac:dyDescent="0.3">
      <c r="B24" s="80" t="s">
        <v>329</v>
      </c>
      <c r="C24" s="81" t="s">
        <v>64</v>
      </c>
      <c r="D24" s="82" t="s">
        <v>63</v>
      </c>
      <c r="H24" s="91"/>
      <c r="I24" s="91"/>
      <c r="J24" s="97"/>
      <c r="K24" s="79"/>
      <c r="L24" s="79"/>
      <c r="M24" s="79" t="str">
        <f>Table7281822432[[#This Row],[DBA]]&amp;" - "&amp;Table7281822432[[#This Row],[BIN]]&amp;" - "&amp;Table7281822432[[#This Row],[CAID]]</f>
        <v xml:space="preserve"> -  - </v>
      </c>
      <c r="N24" s="90"/>
    </row>
    <row r="25" spans="2:14" ht="13.8" thickBot="1" x14ac:dyDescent="0.3">
      <c r="B25" s="83"/>
      <c r="C25" s="84"/>
      <c r="D25" s="83"/>
      <c r="H25" s="91"/>
      <c r="I25" s="91"/>
      <c r="J25" s="97"/>
      <c r="K25" s="79"/>
      <c r="L25" s="79"/>
      <c r="M25" s="79" t="str">
        <f>Table7281822432[[#This Row],[DBA]]&amp;" - "&amp;Table7281822432[[#This Row],[BIN]]&amp;" - "&amp;Table7281822432[[#This Row],[CAID]]</f>
        <v xml:space="preserve"> -  - </v>
      </c>
      <c r="N25" s="90"/>
    </row>
    <row r="26" spans="2:14" x14ac:dyDescent="0.25">
      <c r="H26" s="91"/>
      <c r="I26" s="91"/>
      <c r="J26" s="97"/>
      <c r="K26" s="79"/>
      <c r="L26" s="79"/>
      <c r="M26" s="79" t="str">
        <f>Table7281822432[[#This Row],[DBA]]&amp;" - "&amp;Table7281822432[[#This Row],[BIN]]&amp;" - "&amp;Table7281822432[[#This Row],[CAID]]</f>
        <v xml:space="preserve"> -  - </v>
      </c>
      <c r="N26" s="90"/>
    </row>
    <row r="27" spans="2:14" x14ac:dyDescent="0.25">
      <c r="C27" s="30" t="s">
        <v>83</v>
      </c>
      <c r="H27" s="91"/>
      <c r="I27" s="91"/>
      <c r="J27" s="97"/>
      <c r="K27" s="79"/>
      <c r="L27" s="79"/>
      <c r="M27" s="79" t="str">
        <f>Table7281822432[[#This Row],[DBA]]&amp;" - "&amp;Table7281822432[[#This Row],[BIN]]&amp;" - "&amp;Table7281822432[[#This Row],[CAID]]</f>
        <v xml:space="preserve"> -  - </v>
      </c>
      <c r="N27" s="90"/>
    </row>
    <row r="28" spans="2:14" ht="13.8" thickBot="1" x14ac:dyDescent="0.3">
      <c r="C28" s="29"/>
      <c r="H28" s="91"/>
      <c r="I28" s="91"/>
      <c r="J28" s="97"/>
      <c r="K28" s="79"/>
      <c r="L28" s="79"/>
      <c r="M28" s="79" t="str">
        <f>Table7281822432[[#This Row],[DBA]]&amp;" - "&amp;Table7281822432[[#This Row],[BIN]]&amp;" - "&amp;Table7281822432[[#This Row],[CAID]]</f>
        <v xml:space="preserve"> -  - </v>
      </c>
      <c r="N28" s="90"/>
    </row>
    <row r="29" spans="2:14" ht="13.8" thickBot="1" x14ac:dyDescent="0.3">
      <c r="B29" s="80" t="s">
        <v>329</v>
      </c>
      <c r="C29" s="81" t="s">
        <v>64</v>
      </c>
      <c r="D29" s="82" t="s">
        <v>63</v>
      </c>
      <c r="H29" s="91"/>
      <c r="I29" s="91"/>
      <c r="J29" s="97"/>
      <c r="K29" s="79"/>
      <c r="L29" s="79"/>
      <c r="M29" s="79" t="str">
        <f>Table7281822432[[#This Row],[DBA]]&amp;" - "&amp;Table7281822432[[#This Row],[BIN]]&amp;" - "&amp;Table7281822432[[#This Row],[CAID]]</f>
        <v xml:space="preserve"> -  - </v>
      </c>
      <c r="N29" s="90"/>
    </row>
    <row r="30" spans="2:14" ht="13.8" thickBot="1" x14ac:dyDescent="0.3">
      <c r="B30" s="83"/>
      <c r="C30" s="84"/>
      <c r="D30" s="83"/>
      <c r="H30" s="91"/>
      <c r="I30" s="91"/>
      <c r="J30" s="97"/>
      <c r="K30" s="79"/>
      <c r="L30" s="79"/>
      <c r="M30" s="79" t="str">
        <f>Table7281822432[[#This Row],[DBA]]&amp;" - "&amp;Table7281822432[[#This Row],[BIN]]&amp;" - "&amp;Table7281822432[[#This Row],[CAID]]</f>
        <v xml:space="preserve"> -  - </v>
      </c>
      <c r="N30" s="90"/>
    </row>
    <row r="31" spans="2:14" x14ac:dyDescent="0.25">
      <c r="H31" s="91"/>
      <c r="I31" s="91"/>
      <c r="J31" s="97"/>
      <c r="K31" s="79"/>
      <c r="L31" s="79"/>
      <c r="M31" s="79" t="str">
        <f>Table7281822432[[#This Row],[DBA]]&amp;" - "&amp;Table7281822432[[#This Row],[BIN]]&amp;" - "&amp;Table7281822432[[#This Row],[CAID]]</f>
        <v xml:space="preserve"> -  - </v>
      </c>
      <c r="N31" s="90"/>
    </row>
    <row r="32" spans="2:14" x14ac:dyDescent="0.25">
      <c r="C32" s="30" t="s">
        <v>83</v>
      </c>
      <c r="H32" s="91"/>
      <c r="I32" s="91"/>
      <c r="J32" s="97"/>
      <c r="K32" s="79"/>
      <c r="L32" s="79"/>
      <c r="M32" s="79" t="str">
        <f>Table7281822432[[#This Row],[DBA]]&amp;" - "&amp;Table7281822432[[#This Row],[BIN]]&amp;" - "&amp;Table7281822432[[#This Row],[CAID]]</f>
        <v xml:space="preserve"> -  - </v>
      </c>
      <c r="N32" s="90"/>
    </row>
    <row r="33" spans="2:14" ht="13.8" thickBot="1" x14ac:dyDescent="0.3">
      <c r="C33" s="29"/>
      <c r="H33" s="91"/>
      <c r="I33" s="91"/>
      <c r="J33" s="97"/>
      <c r="K33" s="79"/>
      <c r="L33" s="79"/>
      <c r="M33" s="79" t="str">
        <f>Table7281822432[[#This Row],[DBA]]&amp;" - "&amp;Table7281822432[[#This Row],[BIN]]&amp;" - "&amp;Table7281822432[[#This Row],[CAID]]</f>
        <v xml:space="preserve"> -  - </v>
      </c>
      <c r="N33" s="90"/>
    </row>
    <row r="34" spans="2:14" ht="13.8" thickBot="1" x14ac:dyDescent="0.3">
      <c r="B34" s="80" t="s">
        <v>329</v>
      </c>
      <c r="C34" s="81" t="s">
        <v>64</v>
      </c>
      <c r="D34" s="82" t="s">
        <v>63</v>
      </c>
      <c r="H34" s="91"/>
      <c r="I34" s="91"/>
      <c r="J34" s="97"/>
      <c r="K34" s="79"/>
      <c r="L34" s="79"/>
      <c r="M34" s="79" t="str">
        <f>Table7281822432[[#This Row],[DBA]]&amp;" - "&amp;Table7281822432[[#This Row],[BIN]]&amp;" - "&amp;Table7281822432[[#This Row],[CAID]]</f>
        <v xml:space="preserve"> -  - </v>
      </c>
      <c r="N34" s="90"/>
    </row>
    <row r="35" spans="2:14" ht="13.8" thickBot="1" x14ac:dyDescent="0.3">
      <c r="B35" s="83"/>
      <c r="C35" s="84"/>
      <c r="D35" s="83"/>
      <c r="H35" s="91"/>
      <c r="I35" s="91"/>
      <c r="J35" s="97"/>
      <c r="K35" s="79"/>
      <c r="L35" s="79"/>
      <c r="M35" s="79" t="str">
        <f>Table7281822432[[#This Row],[DBA]]&amp;" - "&amp;Table7281822432[[#This Row],[BIN]]&amp;" - "&amp;Table7281822432[[#This Row],[CAID]]</f>
        <v xml:space="preserve"> -  - </v>
      </c>
      <c r="N35" s="90"/>
    </row>
    <row r="36" spans="2:14" x14ac:dyDescent="0.25">
      <c r="H36" s="91"/>
      <c r="I36" s="91"/>
      <c r="J36" s="97"/>
      <c r="K36" s="79"/>
      <c r="L36" s="79"/>
      <c r="M36" s="79" t="str">
        <f>Table7281822432[[#This Row],[DBA]]&amp;" - "&amp;Table7281822432[[#This Row],[BIN]]&amp;" - "&amp;Table7281822432[[#This Row],[CAID]]</f>
        <v xml:space="preserve"> -  - </v>
      </c>
      <c r="N36" s="90"/>
    </row>
    <row r="37" spans="2:14" x14ac:dyDescent="0.25">
      <c r="C37" s="30" t="s">
        <v>83</v>
      </c>
      <c r="H37" s="91"/>
      <c r="I37" s="91"/>
      <c r="J37" s="97"/>
      <c r="K37" s="79"/>
      <c r="L37" s="79"/>
      <c r="M37" s="79" t="str">
        <f>Table7281822432[[#This Row],[DBA]]&amp;" - "&amp;Table7281822432[[#This Row],[BIN]]&amp;" - "&amp;Table7281822432[[#This Row],[CAID]]</f>
        <v xml:space="preserve"> -  - </v>
      </c>
      <c r="N37" s="90"/>
    </row>
    <row r="38" spans="2:14" ht="13.8" thickBot="1" x14ac:dyDescent="0.3">
      <c r="C38" s="29"/>
      <c r="H38" s="91"/>
      <c r="I38" s="91"/>
      <c r="J38" s="97"/>
      <c r="K38" s="79"/>
      <c r="L38" s="79"/>
      <c r="M38" s="79" t="str">
        <f>Table7281822432[[#This Row],[DBA]]&amp;" - "&amp;Table7281822432[[#This Row],[BIN]]&amp;" - "&amp;Table7281822432[[#This Row],[CAID]]</f>
        <v xml:space="preserve"> -  - </v>
      </c>
      <c r="N38" s="90"/>
    </row>
    <row r="39" spans="2:14" ht="13.8" thickBot="1" x14ac:dyDescent="0.3">
      <c r="B39" s="80" t="s">
        <v>329</v>
      </c>
      <c r="C39" s="81" t="s">
        <v>64</v>
      </c>
      <c r="D39" s="82" t="s">
        <v>63</v>
      </c>
      <c r="H39" s="91"/>
      <c r="I39" s="91"/>
      <c r="J39" s="97"/>
      <c r="K39" s="79"/>
      <c r="L39" s="79"/>
      <c r="M39" s="79" t="str">
        <f>Table7281822432[[#This Row],[DBA]]&amp;" - "&amp;Table7281822432[[#This Row],[BIN]]&amp;" - "&amp;Table7281822432[[#This Row],[CAID]]</f>
        <v xml:space="preserve"> -  - </v>
      </c>
      <c r="N39" s="90"/>
    </row>
    <row r="40" spans="2:14" ht="13.8" thickBot="1" x14ac:dyDescent="0.3">
      <c r="B40" s="83"/>
      <c r="C40" s="84"/>
      <c r="D40" s="83"/>
      <c r="H40" s="91"/>
      <c r="I40" s="91"/>
      <c r="J40" s="97"/>
      <c r="K40" s="89"/>
      <c r="L40" s="89"/>
      <c r="M40" s="79" t="str">
        <f>Table7281822432[[#This Row],[DBA]]&amp;" - "&amp;Table7281822432[[#This Row],[BIN]]&amp;" - "&amp;Table7281822432[[#This Row],[CAID]]</f>
        <v xml:space="preserve"> -  - </v>
      </c>
      <c r="N40" s="90"/>
    </row>
    <row r="41" spans="2:14" x14ac:dyDescent="0.25">
      <c r="H41" s="91"/>
      <c r="I41" s="91"/>
      <c r="J41" s="97"/>
      <c r="K41" s="79"/>
      <c r="L41" s="79"/>
      <c r="M41" s="79" t="str">
        <f>Table7281822432[[#This Row],[DBA]]&amp;" - "&amp;Table7281822432[[#This Row],[BIN]]&amp;" - "&amp;Table7281822432[[#This Row],[CAID]]</f>
        <v xml:space="preserve"> -  - </v>
      </c>
      <c r="N41" s="90"/>
    </row>
    <row r="42" spans="2:14" x14ac:dyDescent="0.25">
      <c r="H42" s="91"/>
      <c r="I42" s="91"/>
      <c r="J42" s="97"/>
      <c r="K42" s="79"/>
      <c r="L42" s="79"/>
      <c r="M42" s="79" t="str">
        <f>Table7281822432[[#This Row],[DBA]]&amp;" - "&amp;Table7281822432[[#This Row],[BIN]]&amp;" - "&amp;Table7281822432[[#This Row],[CAID]]</f>
        <v xml:space="preserve"> -  - </v>
      </c>
      <c r="N42" s="90"/>
    </row>
    <row r="43" spans="2:14" x14ac:dyDescent="0.25">
      <c r="H43" s="91"/>
      <c r="I43" s="91"/>
      <c r="J43" s="97"/>
      <c r="K43" s="79"/>
      <c r="L43" s="79"/>
      <c r="M43" s="79" t="str">
        <f>Table7281822432[[#This Row],[DBA]]&amp;" - "&amp;Table7281822432[[#This Row],[BIN]]&amp;" - "&amp;Table7281822432[[#This Row],[CAID]]</f>
        <v xml:space="preserve"> -  - </v>
      </c>
      <c r="N43" s="90"/>
    </row>
    <row r="44" spans="2:14" x14ac:dyDescent="0.25">
      <c r="H44" s="91"/>
      <c r="I44" s="91"/>
      <c r="J44" s="97"/>
      <c r="K44" s="79"/>
      <c r="L44" s="79"/>
      <c r="M44" s="79" t="str">
        <f>Table7281822432[[#This Row],[DBA]]&amp;" - "&amp;Table7281822432[[#This Row],[BIN]]&amp;" - "&amp;Table7281822432[[#This Row],[CAID]]</f>
        <v xml:space="preserve"> -  - </v>
      </c>
      <c r="N44" s="90"/>
    </row>
    <row r="45" spans="2:14" x14ac:dyDescent="0.25">
      <c r="H45" s="91"/>
      <c r="I45" s="91"/>
      <c r="J45" s="97"/>
      <c r="K45" s="79"/>
      <c r="L45" s="79"/>
      <c r="M45" s="79" t="str">
        <f>Table7281822432[[#This Row],[DBA]]&amp;" - "&amp;Table7281822432[[#This Row],[BIN]]&amp;" - "&amp;Table7281822432[[#This Row],[CAID]]</f>
        <v xml:space="preserve"> -  - </v>
      </c>
      <c r="N45" s="90"/>
    </row>
    <row r="46" spans="2:14" x14ac:dyDescent="0.25">
      <c r="H46" s="91"/>
      <c r="I46" s="91"/>
      <c r="J46" s="97"/>
      <c r="K46" s="79"/>
      <c r="L46" s="79"/>
      <c r="M46" s="79" t="str">
        <f>Table7281822432[[#This Row],[DBA]]&amp;" - "&amp;Table7281822432[[#This Row],[BIN]]&amp;" - "&amp;Table7281822432[[#This Row],[CAID]]</f>
        <v xml:space="preserve"> -  - </v>
      </c>
      <c r="N46" s="90"/>
    </row>
    <row r="47" spans="2:14" x14ac:dyDescent="0.25">
      <c r="H47" s="91"/>
      <c r="I47" s="91"/>
      <c r="J47" s="97"/>
      <c r="K47" s="79"/>
      <c r="L47" s="79"/>
      <c r="M47" s="79" t="str">
        <f>Table7281822432[[#This Row],[DBA]]&amp;" - "&amp;Table7281822432[[#This Row],[BIN]]&amp;" - "&amp;Table7281822432[[#This Row],[CAID]]</f>
        <v xml:space="preserve"> -  - </v>
      </c>
      <c r="N47" s="90"/>
    </row>
    <row r="48" spans="2:14" x14ac:dyDescent="0.25">
      <c r="H48" s="91"/>
      <c r="I48" s="91"/>
      <c r="J48" s="97"/>
      <c r="K48" s="79"/>
      <c r="L48" s="79"/>
      <c r="M48" s="79" t="str">
        <f>Table7281822432[[#This Row],[DBA]]&amp;" - "&amp;Table7281822432[[#This Row],[BIN]]&amp;" - "&amp;Table7281822432[[#This Row],[CAID]]</f>
        <v xml:space="preserve"> -  - </v>
      </c>
      <c r="N48" s="90"/>
    </row>
    <row r="49" spans="8:14" x14ac:dyDescent="0.25">
      <c r="H49" s="91"/>
      <c r="I49" s="91"/>
      <c r="J49" s="97"/>
      <c r="K49" s="79"/>
      <c r="L49" s="79"/>
      <c r="M49" s="79" t="str">
        <f>Table7281822432[[#This Row],[DBA]]&amp;" - "&amp;Table7281822432[[#This Row],[BIN]]&amp;" - "&amp;Table7281822432[[#This Row],[CAID]]</f>
        <v xml:space="preserve"> -  - </v>
      </c>
      <c r="N49" s="90"/>
    </row>
    <row r="50" spans="8:14" x14ac:dyDescent="0.25">
      <c r="H50" s="91"/>
      <c r="I50" s="91"/>
      <c r="J50" s="97"/>
      <c r="K50" s="79"/>
      <c r="L50" s="79"/>
      <c r="M50" s="79" t="str">
        <f>Table7281822432[[#This Row],[DBA]]&amp;" - "&amp;Table7281822432[[#This Row],[BIN]]&amp;" - "&amp;Table7281822432[[#This Row],[CAID]]</f>
        <v xml:space="preserve"> -  - </v>
      </c>
      <c r="N50" s="90"/>
    </row>
    <row r="51" spans="8:14" x14ac:dyDescent="0.25">
      <c r="H51" s="91"/>
      <c r="I51" s="91"/>
      <c r="J51" s="97"/>
      <c r="K51" s="79"/>
      <c r="L51" s="79"/>
      <c r="M51" s="79" t="str">
        <f>Table7281822432[[#This Row],[DBA]]&amp;" - "&amp;Table7281822432[[#This Row],[BIN]]&amp;" - "&amp;Table7281822432[[#This Row],[CAID]]</f>
        <v xml:space="preserve"> -  - </v>
      </c>
      <c r="N51" s="90"/>
    </row>
    <row r="52" spans="8:14" x14ac:dyDescent="0.25">
      <c r="H52" s="91"/>
      <c r="I52" s="91"/>
      <c r="J52" s="97"/>
      <c r="K52" s="79"/>
      <c r="L52" s="79"/>
      <c r="M52" s="79" t="str">
        <f>Table7281822432[[#This Row],[DBA]]&amp;" - "&amp;Table7281822432[[#This Row],[BIN]]&amp;" - "&amp;Table7281822432[[#This Row],[CAID]]</f>
        <v xml:space="preserve"> -  - </v>
      </c>
      <c r="N52" s="90"/>
    </row>
    <row r="53" spans="8:14" x14ac:dyDescent="0.25">
      <c r="H53" s="91"/>
      <c r="I53" s="91"/>
      <c r="J53" s="97"/>
      <c r="K53" s="79"/>
      <c r="L53" s="79"/>
      <c r="M53" s="79" t="str">
        <f>Table7281822432[[#This Row],[DBA]]&amp;" - "&amp;Table7281822432[[#This Row],[BIN]]&amp;" - "&amp;Table7281822432[[#This Row],[CAID]]</f>
        <v xml:space="preserve"> -  - </v>
      </c>
      <c r="N53" s="90"/>
    </row>
    <row r="54" spans="8:14" x14ac:dyDescent="0.25">
      <c r="H54" s="91"/>
      <c r="I54" s="91"/>
      <c r="J54" s="97"/>
      <c r="K54" s="79"/>
      <c r="L54" s="79"/>
      <c r="M54" s="79" t="str">
        <f>Table7281822432[[#This Row],[DBA]]&amp;" - "&amp;Table7281822432[[#This Row],[BIN]]&amp;" - "&amp;Table7281822432[[#This Row],[CAID]]</f>
        <v xml:space="preserve"> -  - </v>
      </c>
      <c r="N54" s="90"/>
    </row>
    <row r="55" spans="8:14" x14ac:dyDescent="0.25">
      <c r="H55" s="91"/>
      <c r="I55" s="91"/>
      <c r="J55" s="97"/>
      <c r="K55" s="79"/>
      <c r="L55" s="79"/>
      <c r="M55" s="79" t="str">
        <f>Table7281822432[[#This Row],[DBA]]&amp;" - "&amp;Table7281822432[[#This Row],[BIN]]&amp;" - "&amp;Table7281822432[[#This Row],[CAID]]</f>
        <v xml:space="preserve"> -  - </v>
      </c>
      <c r="N55" s="90"/>
    </row>
    <row r="56" spans="8:14" x14ac:dyDescent="0.25">
      <c r="H56" s="91"/>
      <c r="I56" s="91"/>
      <c r="J56" s="97"/>
      <c r="K56" s="79"/>
      <c r="L56" s="79"/>
      <c r="M56" s="79" t="str">
        <f>Table7281822432[[#This Row],[DBA]]&amp;" - "&amp;Table7281822432[[#This Row],[BIN]]&amp;" - "&amp;Table7281822432[[#This Row],[CAID]]</f>
        <v xml:space="preserve"> -  - </v>
      </c>
      <c r="N56" s="90"/>
    </row>
    <row r="57" spans="8:14" x14ac:dyDescent="0.25">
      <c r="H57" s="91"/>
      <c r="I57" s="91"/>
      <c r="J57" s="97"/>
      <c r="K57" s="79"/>
      <c r="L57" s="79"/>
      <c r="M57" s="79" t="str">
        <f>Table7281822432[[#This Row],[DBA]]&amp;" - "&amp;Table7281822432[[#This Row],[BIN]]&amp;" - "&amp;Table7281822432[[#This Row],[CAID]]</f>
        <v xml:space="preserve"> -  - </v>
      </c>
      <c r="N57" s="90"/>
    </row>
    <row r="58" spans="8:14" x14ac:dyDescent="0.25">
      <c r="H58" s="91"/>
      <c r="I58" s="91"/>
      <c r="J58" s="97"/>
      <c r="K58" s="79"/>
      <c r="L58" s="79"/>
      <c r="M58" s="79" t="str">
        <f>Table7281822432[[#This Row],[DBA]]&amp;" - "&amp;Table7281822432[[#This Row],[BIN]]&amp;" - "&amp;Table7281822432[[#This Row],[CAID]]</f>
        <v xml:space="preserve"> -  - </v>
      </c>
      <c r="N58" s="90"/>
    </row>
    <row r="59" spans="8:14" x14ac:dyDescent="0.25">
      <c r="H59" s="91"/>
      <c r="I59" s="91"/>
      <c r="J59" s="97"/>
      <c r="K59" s="79"/>
      <c r="L59" s="79"/>
      <c r="M59" s="79" t="str">
        <f>Table7281822432[[#This Row],[DBA]]&amp;" - "&amp;Table7281822432[[#This Row],[BIN]]&amp;" - "&amp;Table7281822432[[#This Row],[CAID]]</f>
        <v xml:space="preserve"> -  - </v>
      </c>
      <c r="N59" s="90"/>
    </row>
    <row r="60" spans="8:14" x14ac:dyDescent="0.25">
      <c r="H60" s="91"/>
      <c r="I60" s="91"/>
      <c r="J60" s="97"/>
      <c r="K60" s="79"/>
      <c r="L60" s="79"/>
      <c r="M60" s="79" t="str">
        <f>Table7281822432[[#This Row],[DBA]]&amp;" - "&amp;Table7281822432[[#This Row],[BIN]]&amp;" - "&amp;Table7281822432[[#This Row],[CAID]]</f>
        <v xml:space="preserve"> -  - </v>
      </c>
      <c r="N60" s="90"/>
    </row>
    <row r="61" spans="8:14" x14ac:dyDescent="0.25">
      <c r="H61" s="91"/>
      <c r="I61" s="91"/>
      <c r="J61" s="97"/>
      <c r="K61" s="79"/>
      <c r="L61" s="79"/>
      <c r="M61" s="79" t="str">
        <f>Table7281822432[[#This Row],[DBA]]&amp;" - "&amp;Table7281822432[[#This Row],[BIN]]&amp;" - "&amp;Table7281822432[[#This Row],[CAID]]</f>
        <v xml:space="preserve"> -  - </v>
      </c>
      <c r="N61" s="90"/>
    </row>
    <row r="62" spans="8:14" x14ac:dyDescent="0.25">
      <c r="H62" s="91"/>
      <c r="I62" s="91"/>
      <c r="J62" s="97"/>
      <c r="K62" s="79"/>
      <c r="L62" s="79"/>
      <c r="M62" s="79" t="str">
        <f>Table7281822432[[#This Row],[DBA]]&amp;" - "&amp;Table7281822432[[#This Row],[BIN]]&amp;" - "&amp;Table7281822432[[#This Row],[CAID]]</f>
        <v xml:space="preserve"> -  - </v>
      </c>
      <c r="N62" s="90"/>
    </row>
    <row r="63" spans="8:14" x14ac:dyDescent="0.25">
      <c r="H63" s="91"/>
      <c r="I63" s="91"/>
      <c r="J63" s="97"/>
      <c r="K63" s="79"/>
      <c r="L63" s="79"/>
      <c r="M63" s="79" t="str">
        <f>Table7281822432[[#This Row],[DBA]]&amp;" - "&amp;Table7281822432[[#This Row],[BIN]]&amp;" - "&amp;Table7281822432[[#This Row],[CAID]]</f>
        <v xml:space="preserve"> -  - </v>
      </c>
      <c r="N63" s="90"/>
    </row>
    <row r="64" spans="8:14" x14ac:dyDescent="0.25">
      <c r="H64" s="91"/>
      <c r="I64" s="91"/>
      <c r="J64" s="97"/>
      <c r="K64" s="79"/>
      <c r="L64" s="79"/>
      <c r="M64" s="79" t="str">
        <f>Table7281822432[[#This Row],[DBA]]&amp;" - "&amp;Table7281822432[[#This Row],[BIN]]&amp;" - "&amp;Table7281822432[[#This Row],[CAID]]</f>
        <v xml:space="preserve"> -  - </v>
      </c>
      <c r="N64" s="90"/>
    </row>
    <row r="65" spans="8:14" x14ac:dyDescent="0.25">
      <c r="H65" s="91"/>
      <c r="I65" s="91"/>
      <c r="J65" s="97"/>
      <c r="K65" s="79"/>
      <c r="L65" s="79"/>
      <c r="M65" s="79" t="str">
        <f>Table7281822432[[#This Row],[DBA]]&amp;" - "&amp;Table7281822432[[#This Row],[BIN]]&amp;" - "&amp;Table7281822432[[#This Row],[CAID]]</f>
        <v xml:space="preserve"> -  - </v>
      </c>
      <c r="N65" s="90"/>
    </row>
    <row r="66" spans="8:14" x14ac:dyDescent="0.25">
      <c r="H66" s="91"/>
      <c r="I66" s="91"/>
      <c r="J66" s="97"/>
      <c r="K66" s="79"/>
      <c r="L66" s="79"/>
      <c r="M66" s="79" t="str">
        <f>Table7281822432[[#This Row],[DBA]]&amp;" - "&amp;Table7281822432[[#This Row],[BIN]]&amp;" - "&amp;Table7281822432[[#This Row],[CAID]]</f>
        <v xml:space="preserve"> -  - </v>
      </c>
      <c r="N66" s="90"/>
    </row>
    <row r="67" spans="8:14" x14ac:dyDescent="0.25">
      <c r="H67" s="91"/>
      <c r="I67" s="91"/>
      <c r="J67" s="97"/>
      <c r="K67" s="79"/>
      <c r="L67" s="79"/>
      <c r="M67" s="79" t="str">
        <f>Table7281822432[[#This Row],[DBA]]&amp;" - "&amp;Table7281822432[[#This Row],[BIN]]&amp;" - "&amp;Table7281822432[[#This Row],[CAID]]</f>
        <v xml:space="preserve"> -  - </v>
      </c>
      <c r="N67" s="90"/>
    </row>
    <row r="68" spans="8:14" x14ac:dyDescent="0.25">
      <c r="H68" s="91"/>
      <c r="I68" s="91"/>
      <c r="J68" s="97"/>
      <c r="K68" s="79"/>
      <c r="L68" s="79"/>
      <c r="M68" s="79" t="str">
        <f>Table7281822432[[#This Row],[DBA]]&amp;" - "&amp;Table7281822432[[#This Row],[BIN]]&amp;" - "&amp;Table7281822432[[#This Row],[CAID]]</f>
        <v xml:space="preserve"> -  - </v>
      </c>
      <c r="N68" s="90"/>
    </row>
    <row r="69" spans="8:14" x14ac:dyDescent="0.25">
      <c r="H69" s="91"/>
      <c r="I69" s="91"/>
      <c r="J69" s="97"/>
      <c r="K69" s="79"/>
      <c r="L69" s="79"/>
      <c r="M69" s="79" t="str">
        <f>Table7281822432[[#This Row],[DBA]]&amp;" - "&amp;Table7281822432[[#This Row],[BIN]]&amp;" - "&amp;Table7281822432[[#This Row],[CAID]]</f>
        <v xml:space="preserve"> -  - </v>
      </c>
      <c r="N69" s="90"/>
    </row>
    <row r="70" spans="8:14" x14ac:dyDescent="0.25">
      <c r="H70" s="91"/>
      <c r="I70" s="91"/>
      <c r="J70" s="97"/>
      <c r="K70" s="79"/>
      <c r="L70" s="79"/>
      <c r="M70" s="79" t="str">
        <f>Table7281822432[[#This Row],[DBA]]&amp;" - "&amp;Table7281822432[[#This Row],[BIN]]&amp;" - "&amp;Table7281822432[[#This Row],[CAID]]</f>
        <v xml:space="preserve"> -  - </v>
      </c>
      <c r="N70" s="90"/>
    </row>
    <row r="71" spans="8:14" x14ac:dyDescent="0.25">
      <c r="H71" s="91"/>
      <c r="I71" s="91"/>
      <c r="J71" s="97"/>
      <c r="K71" s="79"/>
      <c r="L71" s="79"/>
      <c r="M71" s="79" t="str">
        <f>Table7281822432[[#This Row],[DBA]]&amp;" - "&amp;Table7281822432[[#This Row],[BIN]]&amp;" - "&amp;Table7281822432[[#This Row],[CAID]]</f>
        <v xml:space="preserve"> -  - </v>
      </c>
      <c r="N71" s="90"/>
    </row>
    <row r="72" spans="8:14" x14ac:dyDescent="0.25">
      <c r="H72" s="91"/>
      <c r="I72" s="91"/>
      <c r="J72" s="97"/>
      <c r="K72" s="79"/>
      <c r="L72" s="79"/>
      <c r="M72" s="79" t="str">
        <f>Table7281822432[[#This Row],[DBA]]&amp;" - "&amp;Table7281822432[[#This Row],[BIN]]&amp;" - "&amp;Table7281822432[[#This Row],[CAID]]</f>
        <v xml:space="preserve"> -  - </v>
      </c>
      <c r="N72" s="90"/>
    </row>
    <row r="73" spans="8:14" x14ac:dyDescent="0.25">
      <c r="H73" s="91"/>
      <c r="I73" s="91"/>
      <c r="J73" s="97"/>
      <c r="K73" s="79"/>
      <c r="L73" s="79"/>
      <c r="M73" s="79" t="str">
        <f>Table7281822432[[#This Row],[DBA]]&amp;" - "&amp;Table7281822432[[#This Row],[BIN]]&amp;" - "&amp;Table7281822432[[#This Row],[CAID]]</f>
        <v xml:space="preserve"> -  - </v>
      </c>
      <c r="N73" s="90"/>
    </row>
    <row r="74" spans="8:14" x14ac:dyDescent="0.25">
      <c r="H74" s="91"/>
      <c r="I74" s="91"/>
      <c r="J74" s="97"/>
      <c r="K74" s="79"/>
      <c r="L74" s="79"/>
      <c r="M74" s="79" t="str">
        <f>Table7281822432[[#This Row],[DBA]]&amp;" - "&amp;Table7281822432[[#This Row],[BIN]]&amp;" - "&amp;Table7281822432[[#This Row],[CAID]]</f>
        <v xml:space="preserve"> -  - </v>
      </c>
      <c r="N74" s="90"/>
    </row>
    <row r="75" spans="8:14" x14ac:dyDescent="0.25">
      <c r="H75" s="91"/>
      <c r="I75" s="91"/>
      <c r="J75" s="97"/>
      <c r="K75" s="79"/>
      <c r="L75" s="79"/>
      <c r="M75" s="79" t="str">
        <f>Table7281822432[[#This Row],[DBA]]&amp;" - "&amp;Table7281822432[[#This Row],[BIN]]&amp;" - "&amp;Table7281822432[[#This Row],[CAID]]</f>
        <v xml:space="preserve"> -  - </v>
      </c>
      <c r="N75" s="90"/>
    </row>
    <row r="76" spans="8:14" x14ac:dyDescent="0.25">
      <c r="H76" s="91"/>
      <c r="I76" s="91"/>
      <c r="J76" s="97"/>
      <c r="K76" s="79"/>
      <c r="L76" s="79"/>
      <c r="M76" s="79" t="str">
        <f>Table7281822432[[#This Row],[DBA]]&amp;" - "&amp;Table7281822432[[#This Row],[BIN]]&amp;" - "&amp;Table7281822432[[#This Row],[CAID]]</f>
        <v xml:space="preserve"> -  - </v>
      </c>
      <c r="N76" s="90"/>
    </row>
    <row r="77" spans="8:14" x14ac:dyDescent="0.25">
      <c r="H77" s="91"/>
      <c r="I77" s="91"/>
      <c r="J77" s="97"/>
      <c r="K77" s="79"/>
      <c r="L77" s="79"/>
      <c r="M77" s="79" t="str">
        <f>Table7281822432[[#This Row],[DBA]]&amp;" - "&amp;Table7281822432[[#This Row],[BIN]]&amp;" - "&amp;Table7281822432[[#This Row],[CAID]]</f>
        <v xml:space="preserve"> -  - </v>
      </c>
      <c r="N77" s="90"/>
    </row>
    <row r="78" spans="8:14" x14ac:dyDescent="0.25">
      <c r="H78" s="91"/>
      <c r="I78" s="91"/>
      <c r="J78" s="97"/>
      <c r="K78" s="79"/>
      <c r="L78" s="79"/>
      <c r="M78" s="79" t="str">
        <f>Table7281822432[[#This Row],[DBA]]&amp;" - "&amp;Table7281822432[[#This Row],[BIN]]&amp;" - "&amp;Table7281822432[[#This Row],[CAID]]</f>
        <v xml:space="preserve"> -  - </v>
      </c>
      <c r="N78" s="90"/>
    </row>
    <row r="79" spans="8:14" x14ac:dyDescent="0.25">
      <c r="H79" s="91"/>
      <c r="I79" s="91"/>
      <c r="J79" s="97"/>
      <c r="K79" s="79"/>
      <c r="L79" s="79"/>
      <c r="M79" s="79" t="str">
        <f>Table7281822432[[#This Row],[DBA]]&amp;" - "&amp;Table7281822432[[#This Row],[BIN]]&amp;" - "&amp;Table7281822432[[#This Row],[CAID]]</f>
        <v xml:space="preserve"> -  - </v>
      </c>
      <c r="N79" s="90"/>
    </row>
    <row r="80" spans="8:14" x14ac:dyDescent="0.25">
      <c r="H80" s="91"/>
      <c r="I80" s="91"/>
      <c r="J80" s="97"/>
      <c r="K80" s="79"/>
      <c r="L80" s="79"/>
      <c r="M80" s="79" t="str">
        <f>Table7281822432[[#This Row],[DBA]]&amp;" - "&amp;Table7281822432[[#This Row],[BIN]]&amp;" - "&amp;Table7281822432[[#This Row],[CAID]]</f>
        <v xml:space="preserve"> -  - </v>
      </c>
      <c r="N80" s="90"/>
    </row>
    <row r="81" spans="8:14" x14ac:dyDescent="0.25">
      <c r="H81" s="91"/>
      <c r="I81" s="91"/>
      <c r="J81" s="97"/>
      <c r="K81" s="79"/>
      <c r="L81" s="79"/>
      <c r="M81" s="79" t="str">
        <f>Table7281822432[[#This Row],[DBA]]&amp;" - "&amp;Table7281822432[[#This Row],[BIN]]&amp;" - "&amp;Table7281822432[[#This Row],[CAID]]</f>
        <v xml:space="preserve"> -  - </v>
      </c>
      <c r="N81" s="90"/>
    </row>
    <row r="82" spans="8:14" x14ac:dyDescent="0.25">
      <c r="H82" s="91"/>
      <c r="I82" s="91"/>
      <c r="J82" s="97"/>
      <c r="K82" s="79"/>
      <c r="L82" s="79"/>
      <c r="M82" s="79" t="str">
        <f>Table7281822432[[#This Row],[DBA]]&amp;" - "&amp;Table7281822432[[#This Row],[BIN]]&amp;" - "&amp;Table7281822432[[#This Row],[CAID]]</f>
        <v xml:space="preserve"> -  - </v>
      </c>
      <c r="N82" s="90"/>
    </row>
    <row r="83" spans="8:14" x14ac:dyDescent="0.25">
      <c r="H83" s="91"/>
      <c r="I83" s="91"/>
      <c r="J83" s="97"/>
      <c r="K83" s="79"/>
      <c r="L83" s="79"/>
      <c r="M83" s="79" t="str">
        <f>Table7281822432[[#This Row],[DBA]]&amp;" - "&amp;Table7281822432[[#This Row],[BIN]]&amp;" - "&amp;Table7281822432[[#This Row],[CAID]]</f>
        <v xml:space="preserve"> -  - </v>
      </c>
      <c r="N83" s="90"/>
    </row>
    <row r="84" spans="8:14" x14ac:dyDescent="0.25">
      <c r="H84" s="91"/>
      <c r="I84" s="91"/>
      <c r="J84" s="97"/>
      <c r="K84" s="79"/>
      <c r="L84" s="79"/>
      <c r="M84" s="79" t="str">
        <f>Table7281822432[[#This Row],[DBA]]&amp;" - "&amp;Table7281822432[[#This Row],[BIN]]&amp;" - "&amp;Table7281822432[[#This Row],[CAID]]</f>
        <v xml:space="preserve"> -  - </v>
      </c>
      <c r="N84" s="90"/>
    </row>
    <row r="85" spans="8:14" x14ac:dyDescent="0.25">
      <c r="H85" s="91"/>
      <c r="I85" s="91"/>
      <c r="J85" s="97"/>
      <c r="K85" s="79"/>
      <c r="L85" s="79"/>
      <c r="M85" s="79" t="str">
        <f>Table7281822432[[#This Row],[DBA]]&amp;" - "&amp;Table7281822432[[#This Row],[BIN]]&amp;" - "&amp;Table7281822432[[#This Row],[CAID]]</f>
        <v xml:space="preserve"> -  - </v>
      </c>
      <c r="N85" s="90"/>
    </row>
    <row r="86" spans="8:14" x14ac:dyDescent="0.25">
      <c r="H86" s="91"/>
      <c r="I86" s="91"/>
      <c r="J86" s="97"/>
      <c r="K86" s="79"/>
      <c r="L86" s="79"/>
      <c r="M86" s="79" t="str">
        <f>Table7281822432[[#This Row],[DBA]]&amp;" - "&amp;Table7281822432[[#This Row],[BIN]]&amp;" - "&amp;Table7281822432[[#This Row],[CAID]]</f>
        <v xml:space="preserve"> -  - </v>
      </c>
      <c r="N86" s="90"/>
    </row>
    <row r="87" spans="8:14" x14ac:dyDescent="0.25">
      <c r="H87" s="91"/>
      <c r="I87" s="91"/>
      <c r="J87" s="97"/>
      <c r="K87" s="79"/>
      <c r="L87" s="79"/>
      <c r="M87" s="79" t="str">
        <f>Table7281822432[[#This Row],[DBA]]&amp;" - "&amp;Table7281822432[[#This Row],[BIN]]&amp;" - "&amp;Table7281822432[[#This Row],[CAID]]</f>
        <v xml:space="preserve"> -  - </v>
      </c>
      <c r="N87" s="90"/>
    </row>
    <row r="88" spans="8:14" x14ac:dyDescent="0.25">
      <c r="H88" s="91"/>
      <c r="I88" s="91"/>
      <c r="J88" s="97"/>
      <c r="K88" s="79"/>
      <c r="L88" s="79"/>
      <c r="M88" s="79" t="str">
        <f>Table7281822432[[#This Row],[DBA]]&amp;" - "&amp;Table7281822432[[#This Row],[BIN]]&amp;" - "&amp;Table7281822432[[#This Row],[CAID]]</f>
        <v xml:space="preserve"> -  - </v>
      </c>
      <c r="N88" s="90"/>
    </row>
    <row r="89" spans="8:14" x14ac:dyDescent="0.25">
      <c r="H89" s="91"/>
      <c r="I89" s="91"/>
      <c r="J89" s="97"/>
      <c r="K89" s="79"/>
      <c r="L89" s="79"/>
      <c r="M89" s="79" t="str">
        <f>Table7281822432[[#This Row],[DBA]]&amp;" - "&amp;Table7281822432[[#This Row],[BIN]]&amp;" - "&amp;Table7281822432[[#This Row],[CAID]]</f>
        <v xml:space="preserve"> -  - </v>
      </c>
      <c r="N89" s="90"/>
    </row>
    <row r="90" spans="8:14" x14ac:dyDescent="0.25">
      <c r="H90" s="91"/>
      <c r="I90" s="91"/>
      <c r="J90" s="97"/>
      <c r="K90" s="79"/>
      <c r="L90" s="79"/>
      <c r="M90" s="79" t="str">
        <f>Table7281822432[[#This Row],[DBA]]&amp;" - "&amp;Table7281822432[[#This Row],[BIN]]&amp;" - "&amp;Table7281822432[[#This Row],[CAID]]</f>
        <v xml:space="preserve"> -  - </v>
      </c>
      <c r="N90" s="90"/>
    </row>
    <row r="91" spans="8:14" x14ac:dyDescent="0.25">
      <c r="H91" s="91"/>
      <c r="I91" s="91"/>
      <c r="J91" s="97"/>
      <c r="K91" s="79"/>
      <c r="L91" s="79"/>
      <c r="M91" s="79" t="str">
        <f>Table7281822432[[#This Row],[DBA]]&amp;" - "&amp;Table7281822432[[#This Row],[BIN]]&amp;" - "&amp;Table7281822432[[#This Row],[CAID]]</f>
        <v xml:space="preserve"> -  - </v>
      </c>
      <c r="N91" s="90"/>
    </row>
    <row r="92" spans="8:14" x14ac:dyDescent="0.25">
      <c r="H92" s="91"/>
      <c r="I92" s="91"/>
      <c r="J92" s="97"/>
      <c r="K92" s="79"/>
      <c r="L92" s="79"/>
      <c r="M92" s="79" t="str">
        <f>Table7281822432[[#This Row],[DBA]]&amp;" - "&amp;Table7281822432[[#This Row],[BIN]]&amp;" - "&amp;Table7281822432[[#This Row],[CAID]]</f>
        <v xml:space="preserve"> -  - </v>
      </c>
      <c r="N92" s="90"/>
    </row>
    <row r="93" spans="8:14" x14ac:dyDescent="0.25">
      <c r="H93" s="91"/>
      <c r="I93" s="91"/>
      <c r="J93" s="97"/>
      <c r="K93" s="79"/>
      <c r="L93" s="79"/>
      <c r="M93" s="79" t="str">
        <f>Table7281822432[[#This Row],[DBA]]&amp;" - "&amp;Table7281822432[[#This Row],[BIN]]&amp;" - "&amp;Table7281822432[[#This Row],[CAID]]</f>
        <v xml:space="preserve"> -  - </v>
      </c>
      <c r="N93" s="90"/>
    </row>
    <row r="94" spans="8:14" x14ac:dyDescent="0.25">
      <c r="H94" s="91"/>
      <c r="I94" s="91"/>
      <c r="J94" s="97"/>
      <c r="K94" s="79"/>
      <c r="L94" s="79"/>
      <c r="M94" s="79" t="str">
        <f>Table7281822432[[#This Row],[DBA]]&amp;" - "&amp;Table7281822432[[#This Row],[BIN]]&amp;" - "&amp;Table7281822432[[#This Row],[CAID]]</f>
        <v xml:space="preserve"> -  - </v>
      </c>
      <c r="N94" s="90"/>
    </row>
    <row r="95" spans="8:14" x14ac:dyDescent="0.25">
      <c r="H95" s="91"/>
      <c r="I95" s="91"/>
      <c r="J95" s="97"/>
      <c r="K95" s="79"/>
      <c r="L95" s="79"/>
      <c r="M95" s="79" t="str">
        <f>Table7281822432[[#This Row],[DBA]]&amp;" - "&amp;Table7281822432[[#This Row],[BIN]]&amp;" - "&amp;Table7281822432[[#This Row],[CAID]]</f>
        <v xml:space="preserve"> -  - </v>
      </c>
      <c r="N95" s="90"/>
    </row>
    <row r="96" spans="8:14" x14ac:dyDescent="0.25">
      <c r="H96" s="91"/>
      <c r="I96" s="91"/>
      <c r="J96" s="97"/>
      <c r="K96" s="79"/>
      <c r="L96" s="79"/>
      <c r="M96" s="79" t="str">
        <f>Table7281822432[[#This Row],[DBA]]&amp;" - "&amp;Table7281822432[[#This Row],[BIN]]&amp;" - "&amp;Table7281822432[[#This Row],[CAID]]</f>
        <v xml:space="preserve"> -  - </v>
      </c>
      <c r="N96" s="90"/>
    </row>
    <row r="97" spans="8:14" x14ac:dyDescent="0.25">
      <c r="H97" s="91"/>
      <c r="I97" s="91"/>
      <c r="J97" s="97"/>
      <c r="K97" s="79"/>
      <c r="L97" s="79"/>
      <c r="M97" s="79" t="str">
        <f>Table7281822432[[#This Row],[DBA]]&amp;" - "&amp;Table7281822432[[#This Row],[BIN]]&amp;" - "&amp;Table7281822432[[#This Row],[CAID]]</f>
        <v xml:space="preserve"> -  - </v>
      </c>
      <c r="N97" s="90"/>
    </row>
    <row r="98" spans="8:14" x14ac:dyDescent="0.25">
      <c r="H98" s="91"/>
      <c r="I98" s="91"/>
      <c r="J98" s="97"/>
      <c r="K98" s="79"/>
      <c r="L98" s="79"/>
      <c r="M98" s="79" t="str">
        <f>Table7281822432[[#This Row],[DBA]]&amp;" - "&amp;Table7281822432[[#This Row],[BIN]]&amp;" - "&amp;Table7281822432[[#This Row],[CAID]]</f>
        <v xml:space="preserve"> -  - </v>
      </c>
      <c r="N98" s="90"/>
    </row>
    <row r="99" spans="8:14" x14ac:dyDescent="0.25">
      <c r="H99" s="91"/>
      <c r="I99" s="91"/>
      <c r="J99" s="97"/>
      <c r="K99" s="79"/>
      <c r="L99" s="79"/>
      <c r="M99" s="79" t="str">
        <f>Table7281822432[[#This Row],[DBA]]&amp;" - "&amp;Table7281822432[[#This Row],[BIN]]&amp;" - "&amp;Table7281822432[[#This Row],[CAID]]</f>
        <v xml:space="preserve"> -  - </v>
      </c>
      <c r="N99" s="90"/>
    </row>
    <row r="100" spans="8:14" x14ac:dyDescent="0.25">
      <c r="H100" s="91"/>
      <c r="I100" s="91"/>
      <c r="J100" s="97"/>
      <c r="K100" s="79"/>
      <c r="L100" s="79"/>
      <c r="M100" s="79" t="str">
        <f>Table7281822432[[#This Row],[DBA]]&amp;" - "&amp;Table7281822432[[#This Row],[BIN]]&amp;" - "&amp;Table7281822432[[#This Row],[CAID]]</f>
        <v xml:space="preserve"> -  - </v>
      </c>
      <c r="N100" s="90"/>
    </row>
    <row r="101" spans="8:14" x14ac:dyDescent="0.25">
      <c r="H101" s="91"/>
      <c r="I101" s="91"/>
      <c r="J101" s="97"/>
      <c r="K101" s="79"/>
      <c r="L101" s="79"/>
      <c r="M101" s="79" t="str">
        <f>Table7281822432[[#This Row],[DBA]]&amp;" - "&amp;Table7281822432[[#This Row],[BIN]]&amp;" - "&amp;Table7281822432[[#This Row],[CAID]]</f>
        <v xml:space="preserve"> -  - </v>
      </c>
      <c r="N101" s="90"/>
    </row>
    <row r="102" spans="8:14" x14ac:dyDescent="0.25">
      <c r="H102" s="91"/>
      <c r="I102" s="91"/>
      <c r="J102" s="97"/>
      <c r="K102" s="79"/>
      <c r="L102" s="79"/>
      <c r="M102" s="79" t="str">
        <f>Table7281822432[[#This Row],[DBA]]&amp;" - "&amp;Table7281822432[[#This Row],[BIN]]&amp;" - "&amp;Table7281822432[[#This Row],[CAID]]</f>
        <v xml:space="preserve"> -  - </v>
      </c>
      <c r="N102" s="90"/>
    </row>
    <row r="103" spans="8:14" x14ac:dyDescent="0.25">
      <c r="H103" s="91"/>
      <c r="I103" s="91"/>
      <c r="J103" s="97"/>
      <c r="K103" s="79"/>
      <c r="L103" s="79"/>
      <c r="M103" s="79" t="str">
        <f>Table7281822432[[#This Row],[DBA]]&amp;" - "&amp;Table7281822432[[#This Row],[BIN]]&amp;" - "&amp;Table7281822432[[#This Row],[CAID]]</f>
        <v xml:space="preserve"> -  - </v>
      </c>
      <c r="N103" s="90"/>
    </row>
    <row r="104" spans="8:14" x14ac:dyDescent="0.25">
      <c r="H104" s="91"/>
      <c r="I104" s="91"/>
      <c r="J104" s="97"/>
      <c r="K104" s="79"/>
      <c r="L104" s="79"/>
      <c r="M104" s="79" t="str">
        <f>Table7281822432[[#This Row],[DBA]]&amp;" - "&amp;Table7281822432[[#This Row],[BIN]]&amp;" - "&amp;Table7281822432[[#This Row],[CAID]]</f>
        <v xml:space="preserve"> -  - </v>
      </c>
      <c r="N104" s="90"/>
    </row>
    <row r="105" spans="8:14" x14ac:dyDescent="0.25">
      <c r="H105" s="91"/>
      <c r="I105" s="91"/>
      <c r="J105" s="97"/>
      <c r="K105" s="79"/>
      <c r="L105" s="79"/>
      <c r="M105" s="79" t="str">
        <f>Table7281822432[[#This Row],[DBA]]&amp;" - "&amp;Table7281822432[[#This Row],[BIN]]&amp;" - "&amp;Table7281822432[[#This Row],[CAID]]</f>
        <v xml:space="preserve"> -  - </v>
      </c>
      <c r="N105" s="90"/>
    </row>
    <row r="106" spans="8:14" x14ac:dyDescent="0.25">
      <c r="H106" s="91"/>
      <c r="I106" s="91"/>
      <c r="J106" s="97"/>
      <c r="K106" s="79"/>
      <c r="L106" s="79"/>
      <c r="M106" s="79" t="str">
        <f>Table7281822432[[#This Row],[DBA]]&amp;" - "&amp;Table7281822432[[#This Row],[BIN]]&amp;" - "&amp;Table7281822432[[#This Row],[CAID]]</f>
        <v xml:space="preserve"> -  - </v>
      </c>
      <c r="N106" s="90"/>
    </row>
    <row r="107" spans="8:14" x14ac:dyDescent="0.25">
      <c r="H107" s="91"/>
      <c r="I107" s="91"/>
      <c r="J107" s="97"/>
      <c r="K107" s="79"/>
      <c r="L107" s="79"/>
      <c r="M107" s="79" t="str">
        <f>Table7281822432[[#This Row],[DBA]]&amp;" - "&amp;Table7281822432[[#This Row],[BIN]]&amp;" - "&amp;Table7281822432[[#This Row],[CAID]]</f>
        <v xml:space="preserve"> -  - </v>
      </c>
      <c r="N107" s="90"/>
    </row>
    <row r="108" spans="8:14" x14ac:dyDescent="0.25">
      <c r="H108" s="91"/>
      <c r="I108" s="91"/>
      <c r="J108" s="97"/>
      <c r="K108" s="79"/>
      <c r="L108" s="79"/>
      <c r="M108" s="79" t="str">
        <f>Table7281822432[[#This Row],[DBA]]&amp;" - "&amp;Table7281822432[[#This Row],[BIN]]&amp;" - "&amp;Table7281822432[[#This Row],[CAID]]</f>
        <v xml:space="preserve"> -  - </v>
      </c>
      <c r="N108" s="90"/>
    </row>
    <row r="109" spans="8:14" x14ac:dyDescent="0.25">
      <c r="H109" s="91"/>
      <c r="I109" s="91"/>
      <c r="J109" s="97"/>
      <c r="K109" s="79"/>
      <c r="L109" s="79"/>
      <c r="M109" s="79" t="str">
        <f>Table7281822432[[#This Row],[DBA]]&amp;" - "&amp;Table7281822432[[#This Row],[BIN]]&amp;" - "&amp;Table7281822432[[#This Row],[CAID]]</f>
        <v xml:space="preserve"> -  - </v>
      </c>
      <c r="N109" s="90"/>
    </row>
    <row r="110" spans="8:14" x14ac:dyDescent="0.25">
      <c r="H110" s="91"/>
      <c r="I110" s="91"/>
      <c r="J110" s="97"/>
      <c r="K110" s="79"/>
      <c r="L110" s="79"/>
      <c r="M110" s="79" t="str">
        <f>Table7281822432[[#This Row],[DBA]]&amp;" - "&amp;Table7281822432[[#This Row],[BIN]]&amp;" - "&amp;Table7281822432[[#This Row],[CAID]]</f>
        <v xml:space="preserve"> -  - </v>
      </c>
      <c r="N110" s="90"/>
    </row>
    <row r="111" spans="8:14" x14ac:dyDescent="0.25">
      <c r="H111" s="91"/>
      <c r="I111" s="91"/>
      <c r="J111" s="97"/>
      <c r="K111" s="79"/>
      <c r="L111" s="79"/>
      <c r="M111" s="79" t="str">
        <f>Table7281822432[[#This Row],[DBA]]&amp;" - "&amp;Table7281822432[[#This Row],[BIN]]&amp;" - "&amp;Table7281822432[[#This Row],[CAID]]</f>
        <v xml:space="preserve"> -  - </v>
      </c>
      <c r="N111" s="90"/>
    </row>
    <row r="112" spans="8:14" x14ac:dyDescent="0.25">
      <c r="H112" s="91"/>
      <c r="I112" s="91"/>
      <c r="J112" s="97"/>
      <c r="K112" s="79"/>
      <c r="L112" s="79"/>
      <c r="M112" s="79" t="str">
        <f>Table7281822432[[#This Row],[DBA]]&amp;" - "&amp;Table7281822432[[#This Row],[BIN]]&amp;" - "&amp;Table7281822432[[#This Row],[CAID]]</f>
        <v xml:space="preserve"> -  - </v>
      </c>
      <c r="N112" s="90"/>
    </row>
    <row r="113" spans="8:14" x14ac:dyDescent="0.25">
      <c r="H113" s="91"/>
      <c r="I113" s="91"/>
      <c r="J113" s="97"/>
      <c r="K113" s="79"/>
      <c r="L113" s="79"/>
      <c r="M113" s="79" t="str">
        <f>Table7281822432[[#This Row],[DBA]]&amp;" - "&amp;Table7281822432[[#This Row],[BIN]]&amp;" - "&amp;Table7281822432[[#This Row],[CAID]]</f>
        <v xml:space="preserve"> -  - </v>
      </c>
      <c r="N113" s="90"/>
    </row>
    <row r="114" spans="8:14" x14ac:dyDescent="0.25">
      <c r="H114" s="91"/>
      <c r="I114" s="91"/>
      <c r="J114" s="97"/>
      <c r="K114" s="79"/>
      <c r="L114" s="79"/>
      <c r="M114" s="79" t="str">
        <f>Table7281822432[[#This Row],[DBA]]&amp;" - "&amp;Table7281822432[[#This Row],[BIN]]&amp;" - "&amp;Table7281822432[[#This Row],[CAID]]</f>
        <v xml:space="preserve"> -  - </v>
      </c>
      <c r="N114" s="90"/>
    </row>
    <row r="115" spans="8:14" x14ac:dyDescent="0.25">
      <c r="H115" s="91"/>
      <c r="I115" s="91"/>
      <c r="J115" s="97"/>
      <c r="K115" s="79"/>
      <c r="L115" s="79"/>
      <c r="M115" s="79" t="str">
        <f>Table7281822432[[#This Row],[DBA]]&amp;" - "&amp;Table7281822432[[#This Row],[BIN]]&amp;" - "&amp;Table7281822432[[#This Row],[CAID]]</f>
        <v xml:space="preserve"> -  - </v>
      </c>
      <c r="N115" s="90"/>
    </row>
    <row r="116" spans="8:14" x14ac:dyDescent="0.25">
      <c r="H116" s="91"/>
      <c r="I116" s="91"/>
      <c r="J116" s="97"/>
      <c r="K116" s="79"/>
      <c r="L116" s="79"/>
      <c r="M116" s="79" t="str">
        <f>Table7281822432[[#This Row],[DBA]]&amp;" - "&amp;Table7281822432[[#This Row],[BIN]]&amp;" - "&amp;Table7281822432[[#This Row],[CAID]]</f>
        <v xml:space="preserve"> -  - </v>
      </c>
      <c r="N116" s="90"/>
    </row>
    <row r="117" spans="8:14" x14ac:dyDescent="0.25">
      <c r="H117" s="91"/>
      <c r="I117" s="91"/>
      <c r="J117" s="97"/>
      <c r="K117" s="79"/>
      <c r="L117" s="79"/>
      <c r="M117" s="79" t="str">
        <f>Table7281822432[[#This Row],[DBA]]&amp;" - "&amp;Table7281822432[[#This Row],[BIN]]&amp;" - "&amp;Table7281822432[[#This Row],[CAID]]</f>
        <v xml:space="preserve"> -  - </v>
      </c>
      <c r="N117" s="90"/>
    </row>
    <row r="118" spans="8:14" x14ac:dyDescent="0.25">
      <c r="H118" s="91"/>
      <c r="I118" s="91"/>
      <c r="J118" s="97"/>
      <c r="K118" s="79"/>
      <c r="L118" s="79"/>
      <c r="M118" s="79" t="str">
        <f>Table7281822432[[#This Row],[DBA]]&amp;" - "&amp;Table7281822432[[#This Row],[BIN]]&amp;" - "&amp;Table7281822432[[#This Row],[CAID]]</f>
        <v xml:space="preserve"> -  - </v>
      </c>
      <c r="N118" s="90"/>
    </row>
    <row r="119" spans="8:14" x14ac:dyDescent="0.25">
      <c r="H119" s="91"/>
      <c r="I119" s="91"/>
      <c r="J119" s="97"/>
      <c r="K119" s="79"/>
      <c r="L119" s="79"/>
      <c r="M119" s="79" t="str">
        <f>Table7281822432[[#This Row],[DBA]]&amp;" - "&amp;Table7281822432[[#This Row],[BIN]]&amp;" - "&amp;Table7281822432[[#This Row],[CAID]]</f>
        <v xml:space="preserve"> -  - </v>
      </c>
      <c r="N119" s="90"/>
    </row>
    <row r="120" spans="8:14" x14ac:dyDescent="0.25">
      <c r="H120" s="91"/>
      <c r="I120" s="91"/>
      <c r="J120" s="97"/>
      <c r="K120" s="79"/>
      <c r="L120" s="79"/>
      <c r="M120" s="79" t="str">
        <f>Table7281822432[[#This Row],[DBA]]&amp;" - "&amp;Table7281822432[[#This Row],[BIN]]&amp;" - "&amp;Table7281822432[[#This Row],[CAID]]</f>
        <v xml:space="preserve"> -  - </v>
      </c>
      <c r="N120" s="90"/>
    </row>
    <row r="121" spans="8:14" x14ac:dyDescent="0.25">
      <c r="H121" s="91"/>
      <c r="I121" s="91"/>
      <c r="J121" s="97"/>
      <c r="K121" s="79"/>
      <c r="L121" s="79"/>
      <c r="M121" s="79" t="str">
        <f>Table7281822432[[#This Row],[DBA]]&amp;" - "&amp;Table7281822432[[#This Row],[BIN]]&amp;" - "&amp;Table7281822432[[#This Row],[CAID]]</f>
        <v xml:space="preserve"> -  - </v>
      </c>
      <c r="N121" s="90"/>
    </row>
    <row r="122" spans="8:14" x14ac:dyDescent="0.25">
      <c r="H122" s="91"/>
      <c r="I122" s="91"/>
      <c r="J122" s="97"/>
      <c r="K122" s="79"/>
      <c r="L122" s="79"/>
      <c r="M122" s="79" t="str">
        <f>Table7281822432[[#This Row],[DBA]]&amp;" - "&amp;Table7281822432[[#This Row],[BIN]]&amp;" - "&amp;Table7281822432[[#This Row],[CAID]]</f>
        <v xml:space="preserve"> -  - </v>
      </c>
      <c r="N122" s="90"/>
    </row>
    <row r="123" spans="8:14" x14ac:dyDescent="0.25">
      <c r="H123" s="91"/>
      <c r="I123" s="91"/>
      <c r="J123" s="97"/>
      <c r="K123" s="79"/>
      <c r="L123" s="79"/>
      <c r="M123" s="79" t="str">
        <f>Table7281822432[[#This Row],[DBA]]&amp;" - "&amp;Table7281822432[[#This Row],[BIN]]&amp;" - "&amp;Table7281822432[[#This Row],[CAID]]</f>
        <v xml:space="preserve"> -  - </v>
      </c>
      <c r="N123" s="90"/>
    </row>
    <row r="124" spans="8:14" x14ac:dyDescent="0.25">
      <c r="H124" s="91"/>
      <c r="I124" s="91"/>
      <c r="J124" s="97"/>
      <c r="K124" s="79"/>
      <c r="L124" s="79"/>
      <c r="M124" s="79" t="str">
        <f>Table7281822432[[#This Row],[DBA]]&amp;" - "&amp;Table7281822432[[#This Row],[BIN]]&amp;" - "&amp;Table7281822432[[#This Row],[CAID]]</f>
        <v xml:space="preserve"> -  - </v>
      </c>
      <c r="N124" s="90"/>
    </row>
    <row r="125" spans="8:14" x14ac:dyDescent="0.25">
      <c r="H125" s="91"/>
      <c r="I125" s="91"/>
      <c r="J125" s="97"/>
      <c r="K125" s="79"/>
      <c r="L125" s="79"/>
      <c r="M125" s="79" t="str">
        <f>Table7281822432[[#This Row],[DBA]]&amp;" - "&amp;Table7281822432[[#This Row],[BIN]]&amp;" - "&amp;Table7281822432[[#This Row],[CAID]]</f>
        <v xml:space="preserve"> -  - </v>
      </c>
      <c r="N125" s="90"/>
    </row>
    <row r="126" spans="8:14" x14ac:dyDescent="0.25">
      <c r="H126" s="91"/>
      <c r="I126" s="91"/>
      <c r="J126" s="97"/>
      <c r="K126" s="79"/>
      <c r="L126" s="79"/>
      <c r="M126" s="79" t="str">
        <f>Table7281822432[[#This Row],[DBA]]&amp;" - "&amp;Table7281822432[[#This Row],[BIN]]&amp;" - "&amp;Table7281822432[[#This Row],[CAID]]</f>
        <v xml:space="preserve"> -  - </v>
      </c>
      <c r="N126" s="90"/>
    </row>
    <row r="127" spans="8:14" x14ac:dyDescent="0.25">
      <c r="H127" s="91"/>
      <c r="I127" s="91"/>
      <c r="J127" s="97"/>
      <c r="K127" s="79"/>
      <c r="L127" s="79"/>
      <c r="M127" s="79" t="str">
        <f>Table7281822432[[#This Row],[DBA]]&amp;" - "&amp;Table7281822432[[#This Row],[BIN]]&amp;" - "&amp;Table7281822432[[#This Row],[CAID]]</f>
        <v xml:space="preserve"> -  - </v>
      </c>
      <c r="N127" s="90"/>
    </row>
    <row r="128" spans="8:14" x14ac:dyDescent="0.25">
      <c r="H128" s="91"/>
      <c r="I128" s="91"/>
      <c r="J128" s="97"/>
      <c r="K128" s="79"/>
      <c r="L128" s="79"/>
      <c r="M128" s="79" t="str">
        <f>Table7281822432[[#This Row],[DBA]]&amp;" - "&amp;Table7281822432[[#This Row],[BIN]]&amp;" - "&amp;Table7281822432[[#This Row],[CAID]]</f>
        <v xml:space="preserve"> -  - </v>
      </c>
      <c r="N128" s="90"/>
    </row>
    <row r="129" spans="8:14" x14ac:dyDescent="0.25">
      <c r="H129" s="91"/>
      <c r="I129" s="91"/>
      <c r="J129" s="97"/>
      <c r="K129" s="79"/>
      <c r="L129" s="79"/>
      <c r="M129" s="79" t="str">
        <f>Table7281822432[[#This Row],[DBA]]&amp;" - "&amp;Table7281822432[[#This Row],[BIN]]&amp;" - "&amp;Table7281822432[[#This Row],[CAID]]</f>
        <v xml:space="preserve"> -  - </v>
      </c>
      <c r="N129" s="90"/>
    </row>
    <row r="130" spans="8:14" x14ac:dyDescent="0.25">
      <c r="H130" s="91"/>
      <c r="I130" s="91"/>
      <c r="J130" s="97"/>
      <c r="K130" s="79"/>
      <c r="L130" s="79"/>
      <c r="M130" s="79" t="str">
        <f>Table7281822432[[#This Row],[DBA]]&amp;" - "&amp;Table7281822432[[#This Row],[BIN]]&amp;" - "&amp;Table7281822432[[#This Row],[CAID]]</f>
        <v xml:space="preserve"> -  - </v>
      </c>
      <c r="N130" s="90"/>
    </row>
    <row r="131" spans="8:14" x14ac:dyDescent="0.25">
      <c r="H131" s="91"/>
      <c r="I131" s="91"/>
      <c r="J131" s="97"/>
      <c r="K131" s="79"/>
      <c r="L131" s="79"/>
      <c r="M131" s="79" t="str">
        <f>Table7281822432[[#This Row],[DBA]]&amp;" - "&amp;Table7281822432[[#This Row],[BIN]]&amp;" - "&amp;Table7281822432[[#This Row],[CAID]]</f>
        <v xml:space="preserve"> -  - </v>
      </c>
      <c r="N131" s="90"/>
    </row>
    <row r="132" spans="8:14" x14ac:dyDescent="0.25">
      <c r="H132" s="91"/>
      <c r="I132" s="91"/>
      <c r="J132" s="97"/>
      <c r="K132" s="79"/>
      <c r="L132" s="79"/>
      <c r="M132" s="79" t="str">
        <f>Table7281822432[[#This Row],[DBA]]&amp;" - "&amp;Table7281822432[[#This Row],[BIN]]&amp;" - "&amp;Table7281822432[[#This Row],[CAID]]</f>
        <v xml:space="preserve"> -  - </v>
      </c>
      <c r="N132" s="90"/>
    </row>
    <row r="133" spans="8:14" x14ac:dyDescent="0.25">
      <c r="H133" s="91"/>
      <c r="I133" s="91"/>
      <c r="J133" s="97"/>
      <c r="K133" s="79"/>
      <c r="L133" s="79"/>
      <c r="M133" s="79" t="str">
        <f>Table7281822432[[#This Row],[DBA]]&amp;" - "&amp;Table7281822432[[#This Row],[BIN]]&amp;" - "&amp;Table7281822432[[#This Row],[CAID]]</f>
        <v xml:space="preserve"> -  - </v>
      </c>
      <c r="N133" s="90"/>
    </row>
    <row r="134" spans="8:14" x14ac:dyDescent="0.25">
      <c r="H134" s="91"/>
      <c r="I134" s="91"/>
      <c r="J134" s="97"/>
      <c r="K134" s="79"/>
      <c r="L134" s="79"/>
      <c r="M134" s="79" t="str">
        <f>Table7281822432[[#This Row],[DBA]]&amp;" - "&amp;Table7281822432[[#This Row],[BIN]]&amp;" - "&amp;Table7281822432[[#This Row],[CAID]]</f>
        <v xml:space="preserve"> -  - </v>
      </c>
      <c r="N134" s="90"/>
    </row>
    <row r="135" spans="8:14" x14ac:dyDescent="0.25">
      <c r="H135" s="91"/>
      <c r="I135" s="91"/>
      <c r="J135" s="97"/>
      <c r="K135" s="79"/>
      <c r="L135" s="79"/>
      <c r="M135" s="79" t="str">
        <f>Table7281822432[[#This Row],[DBA]]&amp;" - "&amp;Table7281822432[[#This Row],[BIN]]&amp;" - "&amp;Table7281822432[[#This Row],[CAID]]</f>
        <v xml:space="preserve"> -  - </v>
      </c>
      <c r="N135" s="90"/>
    </row>
    <row r="136" spans="8:14" x14ac:dyDescent="0.25">
      <c r="H136" s="91"/>
      <c r="I136" s="91"/>
      <c r="J136" s="97"/>
      <c r="K136" s="79"/>
      <c r="L136" s="79"/>
      <c r="M136" s="79" t="str">
        <f>Table7281822432[[#This Row],[DBA]]&amp;" - "&amp;Table7281822432[[#This Row],[BIN]]&amp;" - "&amp;Table7281822432[[#This Row],[CAID]]</f>
        <v xml:space="preserve"> -  - </v>
      </c>
      <c r="N136" s="90"/>
    </row>
    <row r="137" spans="8:14" x14ac:dyDescent="0.25">
      <c r="H137" s="91"/>
      <c r="I137" s="91"/>
      <c r="J137" s="97"/>
      <c r="K137" s="79"/>
      <c r="L137" s="79"/>
      <c r="M137" s="79" t="str">
        <f>Table7281822432[[#This Row],[DBA]]&amp;" - "&amp;Table7281822432[[#This Row],[BIN]]&amp;" - "&amp;Table7281822432[[#This Row],[CAID]]</f>
        <v xml:space="preserve"> -  - </v>
      </c>
      <c r="N137" s="90"/>
    </row>
    <row r="138" spans="8:14" x14ac:dyDescent="0.25">
      <c r="H138" s="91"/>
      <c r="I138" s="91"/>
      <c r="J138" s="97"/>
      <c r="K138" s="79"/>
      <c r="L138" s="79"/>
      <c r="M138" s="79" t="str">
        <f>Table7281822432[[#This Row],[DBA]]&amp;" - "&amp;Table7281822432[[#This Row],[BIN]]&amp;" - "&amp;Table7281822432[[#This Row],[CAID]]</f>
        <v xml:space="preserve"> -  - </v>
      </c>
      <c r="N138" s="90"/>
    </row>
    <row r="139" spans="8:14" x14ac:dyDescent="0.25">
      <c r="H139" s="91"/>
      <c r="I139" s="91"/>
      <c r="J139" s="97"/>
      <c r="K139" s="79"/>
      <c r="L139" s="79"/>
      <c r="M139" s="79" t="str">
        <f>Table7281822432[[#This Row],[DBA]]&amp;" - "&amp;Table7281822432[[#This Row],[BIN]]&amp;" - "&amp;Table7281822432[[#This Row],[CAID]]</f>
        <v xml:space="preserve"> -  - </v>
      </c>
      <c r="N139" s="90"/>
    </row>
    <row r="140" spans="8:14" x14ac:dyDescent="0.25">
      <c r="H140" s="91"/>
      <c r="I140" s="91"/>
      <c r="J140" s="97"/>
      <c r="K140" s="79"/>
      <c r="L140" s="79"/>
      <c r="M140" s="79" t="str">
        <f>Table7281822432[[#This Row],[DBA]]&amp;" - "&amp;Table7281822432[[#This Row],[BIN]]&amp;" - "&amp;Table7281822432[[#This Row],[CAID]]</f>
        <v xml:space="preserve"> -  - </v>
      </c>
      <c r="N140" s="90"/>
    </row>
    <row r="141" spans="8:14" x14ac:dyDescent="0.25">
      <c r="H141" s="91"/>
      <c r="I141" s="91"/>
      <c r="J141" s="97"/>
      <c r="K141" s="79"/>
      <c r="L141" s="79"/>
      <c r="M141" s="79" t="str">
        <f>Table7281822432[[#This Row],[DBA]]&amp;" - "&amp;Table7281822432[[#This Row],[BIN]]&amp;" - "&amp;Table7281822432[[#This Row],[CAID]]</f>
        <v xml:space="preserve"> -  - </v>
      </c>
      <c r="N141" s="90"/>
    </row>
    <row r="142" spans="8:14" x14ac:dyDescent="0.25">
      <c r="H142" s="91"/>
      <c r="I142" s="91"/>
      <c r="J142" s="97"/>
      <c r="K142" s="79"/>
      <c r="L142" s="79"/>
      <c r="M142" s="79" t="str">
        <f>Table7281822432[[#This Row],[DBA]]&amp;" - "&amp;Table7281822432[[#This Row],[BIN]]&amp;" - "&amp;Table7281822432[[#This Row],[CAID]]</f>
        <v xml:space="preserve"> -  - </v>
      </c>
      <c r="N142" s="90"/>
    </row>
    <row r="143" spans="8:14" x14ac:dyDescent="0.25">
      <c r="H143" s="91"/>
      <c r="I143" s="91"/>
      <c r="J143" s="97"/>
      <c r="K143" s="79"/>
      <c r="L143" s="79"/>
      <c r="M143" s="79" t="str">
        <f>Table7281822432[[#This Row],[DBA]]&amp;" - "&amp;Table7281822432[[#This Row],[BIN]]&amp;" - "&amp;Table7281822432[[#This Row],[CAID]]</f>
        <v xml:space="preserve"> -  - </v>
      </c>
      <c r="N143" s="90"/>
    </row>
    <row r="144" spans="8:14" x14ac:dyDescent="0.25">
      <c r="H144" s="91"/>
      <c r="I144" s="91"/>
      <c r="J144" s="97"/>
      <c r="K144" s="79"/>
      <c r="L144" s="79"/>
      <c r="M144" s="79" t="str">
        <f>Table7281822432[[#This Row],[DBA]]&amp;" - "&amp;Table7281822432[[#This Row],[BIN]]&amp;" - "&amp;Table7281822432[[#This Row],[CAID]]</f>
        <v xml:space="preserve"> -  - </v>
      </c>
      <c r="N144" s="90"/>
    </row>
    <row r="145" spans="8:14" x14ac:dyDescent="0.25">
      <c r="H145" s="91"/>
      <c r="I145" s="91"/>
      <c r="J145" s="97"/>
      <c r="K145" s="79"/>
      <c r="L145" s="79"/>
      <c r="M145" s="79" t="str">
        <f>Table7281822432[[#This Row],[DBA]]&amp;" - "&amp;Table7281822432[[#This Row],[BIN]]&amp;" - "&amp;Table7281822432[[#This Row],[CAID]]</f>
        <v xml:space="preserve"> -  - </v>
      </c>
      <c r="N145" s="90"/>
    </row>
    <row r="146" spans="8:14" x14ac:dyDescent="0.25">
      <c r="H146" s="91"/>
      <c r="I146" s="91"/>
      <c r="J146" s="97"/>
      <c r="K146" s="79"/>
      <c r="L146" s="79"/>
      <c r="M146" s="79" t="str">
        <f>Table7281822432[[#This Row],[DBA]]&amp;" - "&amp;Table7281822432[[#This Row],[BIN]]&amp;" - "&amp;Table7281822432[[#This Row],[CAID]]</f>
        <v xml:space="preserve"> -  - </v>
      </c>
      <c r="N146" s="90"/>
    </row>
    <row r="147" spans="8:14" x14ac:dyDescent="0.25">
      <c r="H147" s="91"/>
      <c r="I147" s="91"/>
      <c r="J147" s="97"/>
      <c r="K147" s="79"/>
      <c r="L147" s="79"/>
      <c r="M147" s="79" t="str">
        <f>Table7281822432[[#This Row],[DBA]]&amp;" - "&amp;Table7281822432[[#This Row],[BIN]]&amp;" - "&amp;Table7281822432[[#This Row],[CAID]]</f>
        <v xml:space="preserve"> -  - </v>
      </c>
      <c r="N147" s="90"/>
    </row>
    <row r="148" spans="8:14" x14ac:dyDescent="0.25">
      <c r="H148" s="91"/>
      <c r="I148" s="91"/>
      <c r="J148" s="97"/>
      <c r="K148" s="79"/>
      <c r="L148" s="79"/>
      <c r="M148" s="79" t="str">
        <f>Table7281822432[[#This Row],[DBA]]&amp;" - "&amp;Table7281822432[[#This Row],[BIN]]&amp;" - "&amp;Table7281822432[[#This Row],[CAID]]</f>
        <v xml:space="preserve"> -  - </v>
      </c>
      <c r="N148" s="90"/>
    </row>
    <row r="149" spans="8:14" x14ac:dyDescent="0.25">
      <c r="H149" s="91"/>
      <c r="I149" s="91"/>
      <c r="J149" s="97"/>
      <c r="K149" s="79"/>
      <c r="L149" s="79"/>
      <c r="M149" s="79" t="str">
        <f>Table7281822432[[#This Row],[DBA]]&amp;" - "&amp;Table7281822432[[#This Row],[BIN]]&amp;" - "&amp;Table7281822432[[#This Row],[CAID]]</f>
        <v xml:space="preserve"> -  - </v>
      </c>
      <c r="N149" s="90"/>
    </row>
    <row r="150" spans="8:14" x14ac:dyDescent="0.25">
      <c r="H150" s="91"/>
      <c r="I150" s="91"/>
      <c r="J150" s="97"/>
      <c r="K150" s="79"/>
      <c r="L150" s="79"/>
      <c r="M150" s="79" t="str">
        <f>Table7281822432[[#This Row],[DBA]]&amp;" - "&amp;Table7281822432[[#This Row],[BIN]]&amp;" - "&amp;Table7281822432[[#This Row],[CAID]]</f>
        <v xml:space="preserve"> -  - </v>
      </c>
      <c r="N150" s="90"/>
    </row>
    <row r="151" spans="8:14" x14ac:dyDescent="0.25">
      <c r="H151" s="91"/>
      <c r="I151" s="91"/>
      <c r="J151" s="97"/>
      <c r="K151" s="79"/>
      <c r="L151" s="79"/>
      <c r="M151" s="79" t="str">
        <f>Table7281822432[[#This Row],[DBA]]&amp;" - "&amp;Table7281822432[[#This Row],[BIN]]&amp;" - "&amp;Table7281822432[[#This Row],[CAID]]</f>
        <v xml:space="preserve"> -  - </v>
      </c>
      <c r="N151" s="90"/>
    </row>
    <row r="152" spans="8:14" x14ac:dyDescent="0.25">
      <c r="H152" s="91"/>
      <c r="I152" s="91"/>
      <c r="J152" s="97"/>
      <c r="K152" s="79"/>
      <c r="L152" s="79"/>
      <c r="M152" s="79" t="str">
        <f>Table7281822432[[#This Row],[DBA]]&amp;" - "&amp;Table7281822432[[#This Row],[BIN]]&amp;" - "&amp;Table7281822432[[#This Row],[CAID]]</f>
        <v xml:space="preserve"> -  - </v>
      </c>
      <c r="N152" s="90"/>
    </row>
    <row r="153" spans="8:14" x14ac:dyDescent="0.25">
      <c r="H153" s="91"/>
      <c r="I153" s="91"/>
      <c r="J153" s="97"/>
      <c r="K153" s="79"/>
      <c r="L153" s="79"/>
      <c r="M153" s="79" t="str">
        <f>Table7281822432[[#This Row],[DBA]]&amp;" - "&amp;Table7281822432[[#This Row],[BIN]]&amp;" - "&amp;Table7281822432[[#This Row],[CAID]]</f>
        <v xml:space="preserve"> -  - </v>
      </c>
      <c r="N153" s="90"/>
    </row>
    <row r="154" spans="8:14" x14ac:dyDescent="0.25">
      <c r="H154" s="91"/>
      <c r="I154" s="91"/>
      <c r="J154" s="97"/>
      <c r="K154" s="79"/>
      <c r="L154" s="79"/>
      <c r="M154" s="79" t="str">
        <f>Table7281822432[[#This Row],[DBA]]&amp;" - "&amp;Table7281822432[[#This Row],[BIN]]&amp;" - "&amp;Table7281822432[[#This Row],[CAID]]</f>
        <v xml:space="preserve"> -  - </v>
      </c>
      <c r="N154" s="90"/>
    </row>
    <row r="155" spans="8:14" x14ac:dyDescent="0.25">
      <c r="H155" s="91"/>
      <c r="I155" s="91"/>
      <c r="J155" s="97"/>
      <c r="K155" s="79"/>
      <c r="L155" s="79"/>
      <c r="M155" s="79" t="str">
        <f>Table7281822432[[#This Row],[DBA]]&amp;" - "&amp;Table7281822432[[#This Row],[BIN]]&amp;" - "&amp;Table7281822432[[#This Row],[CAID]]</f>
        <v xml:space="preserve"> -  - </v>
      </c>
      <c r="N155" s="90"/>
    </row>
    <row r="156" spans="8:14" x14ac:dyDescent="0.25">
      <c r="H156" s="91"/>
      <c r="I156" s="91"/>
      <c r="J156" s="97"/>
      <c r="K156" s="79"/>
      <c r="L156" s="79"/>
      <c r="M156" s="79" t="str">
        <f>Table7281822432[[#This Row],[DBA]]&amp;" - "&amp;Table7281822432[[#This Row],[BIN]]&amp;" - "&amp;Table7281822432[[#This Row],[CAID]]</f>
        <v xml:space="preserve"> -  - </v>
      </c>
      <c r="N156" s="90"/>
    </row>
    <row r="157" spans="8:14" x14ac:dyDescent="0.25">
      <c r="H157" s="91"/>
      <c r="I157" s="91"/>
      <c r="J157" s="97"/>
      <c r="K157" s="79"/>
      <c r="L157" s="79"/>
      <c r="M157" s="79" t="str">
        <f>Table7281822432[[#This Row],[DBA]]&amp;" - "&amp;Table7281822432[[#This Row],[BIN]]&amp;" - "&amp;Table7281822432[[#This Row],[CAID]]</f>
        <v xml:space="preserve"> -  - </v>
      </c>
      <c r="N157" s="90"/>
    </row>
    <row r="158" spans="8:14" x14ac:dyDescent="0.25">
      <c r="H158" s="91"/>
      <c r="I158" s="91"/>
      <c r="J158" s="97"/>
      <c r="K158" s="79"/>
      <c r="L158" s="79"/>
      <c r="M158" s="79" t="str">
        <f>Table7281822432[[#This Row],[DBA]]&amp;" - "&amp;Table7281822432[[#This Row],[BIN]]&amp;" - "&amp;Table7281822432[[#This Row],[CAID]]</f>
        <v xml:space="preserve"> -  - </v>
      </c>
      <c r="N158" s="90"/>
    </row>
    <row r="159" spans="8:14" x14ac:dyDescent="0.25">
      <c r="H159" s="91"/>
      <c r="I159" s="91"/>
      <c r="J159" s="97"/>
      <c r="K159" s="79"/>
      <c r="L159" s="79"/>
      <c r="M159" s="79" t="str">
        <f>Table7281822432[[#This Row],[DBA]]&amp;" - "&amp;Table7281822432[[#This Row],[BIN]]&amp;" - "&amp;Table7281822432[[#This Row],[CAID]]</f>
        <v xml:space="preserve"> -  - </v>
      </c>
      <c r="N159" s="90"/>
    </row>
    <row r="160" spans="8:14" x14ac:dyDescent="0.25">
      <c r="H160" s="91"/>
      <c r="I160" s="91"/>
      <c r="J160" s="97"/>
      <c r="K160" s="79"/>
      <c r="L160" s="79"/>
      <c r="M160" s="79" t="str">
        <f>Table7281822432[[#This Row],[DBA]]&amp;" - "&amp;Table7281822432[[#This Row],[BIN]]&amp;" - "&amp;Table7281822432[[#This Row],[CAID]]</f>
        <v xml:space="preserve"> -  - </v>
      </c>
      <c r="N160" s="90"/>
    </row>
    <row r="161" spans="8:14" x14ac:dyDescent="0.25">
      <c r="H161" s="91"/>
      <c r="I161" s="91"/>
      <c r="J161" s="97"/>
      <c r="K161" s="79"/>
      <c r="L161" s="79"/>
      <c r="M161" s="79" t="str">
        <f>Table7281822432[[#This Row],[DBA]]&amp;" - "&amp;Table7281822432[[#This Row],[BIN]]&amp;" - "&amp;Table7281822432[[#This Row],[CAID]]</f>
        <v xml:space="preserve"> -  - </v>
      </c>
      <c r="N161" s="90"/>
    </row>
    <row r="162" spans="8:14" x14ac:dyDescent="0.25">
      <c r="H162" s="91"/>
      <c r="I162" s="91"/>
      <c r="J162" s="97"/>
      <c r="K162" s="79"/>
      <c r="L162" s="79"/>
      <c r="M162" s="79" t="str">
        <f>Table7281822432[[#This Row],[DBA]]&amp;" - "&amp;Table7281822432[[#This Row],[BIN]]&amp;" - "&amp;Table7281822432[[#This Row],[CAID]]</f>
        <v xml:space="preserve"> -  - </v>
      </c>
      <c r="N162" s="90"/>
    </row>
    <row r="163" spans="8:14" x14ac:dyDescent="0.25">
      <c r="H163" s="91"/>
      <c r="I163" s="91"/>
      <c r="J163" s="97"/>
      <c r="K163" s="79"/>
      <c r="L163" s="79"/>
      <c r="M163" s="79" t="str">
        <f>Table7281822432[[#This Row],[DBA]]&amp;" - "&amp;Table7281822432[[#This Row],[BIN]]&amp;" - "&amp;Table7281822432[[#This Row],[CAID]]</f>
        <v xml:space="preserve"> -  - </v>
      </c>
      <c r="N163" s="90"/>
    </row>
    <row r="164" spans="8:14" x14ac:dyDescent="0.25">
      <c r="H164" s="91"/>
      <c r="I164" s="91"/>
      <c r="J164" s="97"/>
      <c r="K164" s="79"/>
      <c r="L164" s="79"/>
      <c r="M164" s="79" t="str">
        <f>Table7281822432[[#This Row],[DBA]]&amp;" - "&amp;Table7281822432[[#This Row],[BIN]]&amp;" - "&amp;Table7281822432[[#This Row],[CAID]]</f>
        <v xml:space="preserve"> -  - </v>
      </c>
      <c r="N164" s="90"/>
    </row>
    <row r="165" spans="8:14" x14ac:dyDescent="0.25">
      <c r="H165" s="91"/>
      <c r="I165" s="91"/>
      <c r="J165" s="97"/>
      <c r="K165" s="79"/>
      <c r="L165" s="79"/>
      <c r="M165" s="79" t="str">
        <f>Table7281822432[[#This Row],[DBA]]&amp;" - "&amp;Table7281822432[[#This Row],[BIN]]&amp;" - "&amp;Table7281822432[[#This Row],[CAID]]</f>
        <v xml:space="preserve"> -  - </v>
      </c>
      <c r="N165" s="90"/>
    </row>
    <row r="166" spans="8:14" x14ac:dyDescent="0.25">
      <c r="H166" s="91"/>
      <c r="I166" s="91"/>
      <c r="J166" s="97"/>
      <c r="K166" s="79"/>
      <c r="L166" s="79"/>
      <c r="M166" s="79" t="str">
        <f>Table7281822432[[#This Row],[DBA]]&amp;" - "&amp;Table7281822432[[#This Row],[BIN]]&amp;" - "&amp;Table7281822432[[#This Row],[CAID]]</f>
        <v xml:space="preserve"> -  - </v>
      </c>
      <c r="N166" s="90"/>
    </row>
    <row r="167" spans="8:14" x14ac:dyDescent="0.25">
      <c r="H167" s="91"/>
      <c r="I167" s="91"/>
      <c r="J167" s="97"/>
      <c r="K167" s="79"/>
      <c r="L167" s="79"/>
      <c r="M167" s="79" t="str">
        <f>Table7281822432[[#This Row],[DBA]]&amp;" - "&amp;Table7281822432[[#This Row],[BIN]]&amp;" - "&amp;Table7281822432[[#This Row],[CAID]]</f>
        <v xml:space="preserve"> -  - </v>
      </c>
      <c r="N167" s="90"/>
    </row>
    <row r="168" spans="8:14" x14ac:dyDescent="0.25">
      <c r="H168" s="91"/>
      <c r="I168" s="91"/>
      <c r="J168" s="97"/>
      <c r="K168" s="79"/>
      <c r="L168" s="79"/>
      <c r="M168" s="79" t="str">
        <f>Table7281822432[[#This Row],[DBA]]&amp;" - "&amp;Table7281822432[[#This Row],[BIN]]&amp;" - "&amp;Table7281822432[[#This Row],[CAID]]</f>
        <v xml:space="preserve"> -  - </v>
      </c>
      <c r="N168" s="90"/>
    </row>
    <row r="169" spans="8:14" x14ac:dyDescent="0.25">
      <c r="H169" s="91"/>
      <c r="I169" s="91"/>
      <c r="J169" s="97"/>
      <c r="K169" s="79"/>
      <c r="L169" s="79"/>
      <c r="M169" s="79" t="str">
        <f>Table7281822432[[#This Row],[DBA]]&amp;" - "&amp;Table7281822432[[#This Row],[BIN]]&amp;" - "&amp;Table7281822432[[#This Row],[CAID]]</f>
        <v xml:space="preserve"> -  - </v>
      </c>
      <c r="N169" s="90"/>
    </row>
    <row r="170" spans="8:14" x14ac:dyDescent="0.25">
      <c r="H170" s="91"/>
      <c r="I170" s="91"/>
      <c r="J170" s="97"/>
      <c r="K170" s="79"/>
      <c r="L170" s="79"/>
      <c r="M170" s="79" t="str">
        <f>Table7281822432[[#This Row],[DBA]]&amp;" - "&amp;Table7281822432[[#This Row],[BIN]]&amp;" - "&amp;Table7281822432[[#This Row],[CAID]]</f>
        <v xml:space="preserve"> -  - </v>
      </c>
      <c r="N170" s="90"/>
    </row>
    <row r="171" spans="8:14" x14ac:dyDescent="0.25">
      <c r="H171" s="91"/>
      <c r="I171" s="91"/>
      <c r="J171" s="97"/>
      <c r="K171" s="79"/>
      <c r="L171" s="79"/>
      <c r="M171" s="79" t="str">
        <f>Table7281822432[[#This Row],[DBA]]&amp;" - "&amp;Table7281822432[[#This Row],[BIN]]&amp;" - "&amp;Table7281822432[[#This Row],[CAID]]</f>
        <v xml:space="preserve"> -  - </v>
      </c>
      <c r="N171" s="90"/>
    </row>
    <row r="172" spans="8:14" x14ac:dyDescent="0.25">
      <c r="H172" s="91"/>
      <c r="I172" s="91"/>
      <c r="J172" s="97"/>
      <c r="K172" s="79"/>
      <c r="L172" s="79"/>
      <c r="M172" s="79" t="str">
        <f>Table7281822432[[#This Row],[DBA]]&amp;" - "&amp;Table7281822432[[#This Row],[BIN]]&amp;" - "&amp;Table7281822432[[#This Row],[CAID]]</f>
        <v xml:space="preserve"> -  - </v>
      </c>
      <c r="N172" s="90"/>
    </row>
    <row r="173" spans="8:14" x14ac:dyDescent="0.25">
      <c r="H173" s="91"/>
      <c r="I173" s="91"/>
      <c r="J173" s="97"/>
      <c r="K173" s="79"/>
      <c r="L173" s="79"/>
      <c r="M173" s="79" t="str">
        <f>Table7281822432[[#This Row],[DBA]]&amp;" - "&amp;Table7281822432[[#This Row],[BIN]]&amp;" - "&amp;Table7281822432[[#This Row],[CAID]]</f>
        <v xml:space="preserve"> -  - </v>
      </c>
      <c r="N173" s="90"/>
    </row>
    <row r="174" spans="8:14" x14ac:dyDescent="0.25">
      <c r="H174" s="91"/>
      <c r="I174" s="91"/>
      <c r="J174" s="97"/>
      <c r="K174" s="79"/>
      <c r="L174" s="79"/>
      <c r="M174" s="79" t="str">
        <f>Table7281822432[[#This Row],[DBA]]&amp;" - "&amp;Table7281822432[[#This Row],[BIN]]&amp;" - "&amp;Table7281822432[[#This Row],[CAID]]</f>
        <v xml:space="preserve"> -  - </v>
      </c>
      <c r="N174" s="90"/>
    </row>
    <row r="175" spans="8:14" x14ac:dyDescent="0.25">
      <c r="H175" s="91"/>
      <c r="I175" s="91"/>
      <c r="J175" s="97"/>
      <c r="K175" s="79"/>
      <c r="L175" s="79"/>
      <c r="M175" s="79" t="str">
        <f>Table7281822432[[#This Row],[DBA]]&amp;" - "&amp;Table7281822432[[#This Row],[BIN]]&amp;" - "&amp;Table7281822432[[#This Row],[CAID]]</f>
        <v xml:space="preserve"> -  - </v>
      </c>
      <c r="N175" s="90"/>
    </row>
    <row r="176" spans="8:14" x14ac:dyDescent="0.25">
      <c r="H176" s="91"/>
      <c r="I176" s="91"/>
      <c r="J176" s="97"/>
      <c r="K176" s="79"/>
      <c r="L176" s="79"/>
      <c r="M176" s="79" t="str">
        <f>Table7281822432[[#This Row],[DBA]]&amp;" - "&amp;Table7281822432[[#This Row],[BIN]]&amp;" - "&amp;Table7281822432[[#This Row],[CAID]]</f>
        <v xml:space="preserve"> -  - </v>
      </c>
      <c r="N176" s="90"/>
    </row>
    <row r="177" spans="8:14" x14ac:dyDescent="0.25">
      <c r="H177" s="91"/>
      <c r="I177" s="91"/>
      <c r="J177" s="97"/>
      <c r="K177" s="79"/>
      <c r="L177" s="79"/>
      <c r="M177" s="79" t="str">
        <f>Table7281822432[[#This Row],[DBA]]&amp;" - "&amp;Table7281822432[[#This Row],[BIN]]&amp;" - "&amp;Table7281822432[[#This Row],[CAID]]</f>
        <v xml:space="preserve"> -  - </v>
      </c>
      <c r="N177" s="90"/>
    </row>
    <row r="178" spans="8:14" x14ac:dyDescent="0.25">
      <c r="H178" s="91"/>
      <c r="I178" s="91"/>
      <c r="J178" s="97"/>
      <c r="K178" s="79"/>
      <c r="L178" s="79"/>
      <c r="M178" s="79" t="str">
        <f>Table7281822432[[#This Row],[DBA]]&amp;" - "&amp;Table7281822432[[#This Row],[BIN]]&amp;" - "&amp;Table7281822432[[#This Row],[CAID]]</f>
        <v xml:space="preserve"> -  - </v>
      </c>
      <c r="N178" s="90"/>
    </row>
    <row r="179" spans="8:14" x14ac:dyDescent="0.25">
      <c r="H179" s="91"/>
      <c r="I179" s="91"/>
      <c r="J179" s="97"/>
      <c r="K179" s="79"/>
      <c r="L179" s="79"/>
      <c r="M179" s="79" t="str">
        <f>Table7281822432[[#This Row],[DBA]]&amp;" - "&amp;Table7281822432[[#This Row],[BIN]]&amp;" - "&amp;Table7281822432[[#This Row],[CAID]]</f>
        <v xml:space="preserve"> -  - </v>
      </c>
      <c r="N179" s="90"/>
    </row>
    <row r="180" spans="8:14" x14ac:dyDescent="0.25">
      <c r="H180" s="91"/>
      <c r="I180" s="91"/>
      <c r="J180" s="97"/>
      <c r="K180" s="79"/>
      <c r="L180" s="79"/>
      <c r="M180" s="79" t="str">
        <f>Table7281822432[[#This Row],[DBA]]&amp;" - "&amp;Table7281822432[[#This Row],[BIN]]&amp;" - "&amp;Table7281822432[[#This Row],[CAID]]</f>
        <v xml:space="preserve"> -  - </v>
      </c>
      <c r="N180" s="90"/>
    </row>
    <row r="181" spans="8:14" x14ac:dyDescent="0.25">
      <c r="H181" s="91"/>
      <c r="I181" s="91"/>
      <c r="J181" s="97"/>
      <c r="K181" s="79"/>
      <c r="L181" s="79"/>
      <c r="M181" s="79" t="str">
        <f>Table7281822432[[#This Row],[DBA]]&amp;" - "&amp;Table7281822432[[#This Row],[BIN]]&amp;" - "&amp;Table7281822432[[#This Row],[CAID]]</f>
        <v xml:space="preserve"> -  - </v>
      </c>
      <c r="N181" s="90"/>
    </row>
    <row r="182" spans="8:14" x14ac:dyDescent="0.25">
      <c r="H182" s="91"/>
      <c r="I182" s="91"/>
      <c r="J182" s="97"/>
      <c r="K182" s="79"/>
      <c r="L182" s="79"/>
      <c r="M182" s="79" t="str">
        <f>Table7281822432[[#This Row],[DBA]]&amp;" - "&amp;Table7281822432[[#This Row],[BIN]]&amp;" - "&amp;Table7281822432[[#This Row],[CAID]]</f>
        <v xml:space="preserve"> -  - </v>
      </c>
      <c r="N182" s="90"/>
    </row>
    <row r="183" spans="8:14" x14ac:dyDescent="0.25">
      <c r="H183" s="91"/>
      <c r="I183" s="91"/>
      <c r="J183" s="97"/>
      <c r="K183" s="79"/>
      <c r="L183" s="79"/>
      <c r="M183" s="79" t="str">
        <f>Table7281822432[[#This Row],[DBA]]&amp;" - "&amp;Table7281822432[[#This Row],[BIN]]&amp;" - "&amp;Table7281822432[[#This Row],[CAID]]</f>
        <v xml:space="preserve"> -  - </v>
      </c>
      <c r="N183" s="90"/>
    </row>
    <row r="184" spans="8:14" x14ac:dyDescent="0.25">
      <c r="H184" s="91"/>
      <c r="I184" s="91"/>
      <c r="J184" s="97"/>
      <c r="K184" s="79"/>
      <c r="L184" s="79"/>
      <c r="M184" s="79" t="str">
        <f>Table7281822432[[#This Row],[DBA]]&amp;" - "&amp;Table7281822432[[#This Row],[BIN]]&amp;" - "&amp;Table7281822432[[#This Row],[CAID]]</f>
        <v xml:space="preserve"> -  - </v>
      </c>
      <c r="N184" s="90"/>
    </row>
    <row r="185" spans="8:14" x14ac:dyDescent="0.25">
      <c r="H185" s="91"/>
      <c r="I185" s="91"/>
      <c r="J185" s="97"/>
      <c r="K185" s="79"/>
      <c r="L185" s="79"/>
      <c r="M185" s="79" t="str">
        <f>Table7281822432[[#This Row],[DBA]]&amp;" - "&amp;Table7281822432[[#This Row],[BIN]]&amp;" - "&amp;Table7281822432[[#This Row],[CAID]]</f>
        <v xml:space="preserve"> -  - </v>
      </c>
      <c r="N185" s="90"/>
    </row>
    <row r="186" spans="8:14" x14ac:dyDescent="0.25">
      <c r="H186" s="91"/>
      <c r="I186" s="91"/>
      <c r="J186" s="97"/>
      <c r="K186" s="79"/>
      <c r="L186" s="79"/>
      <c r="M186" s="79" t="str">
        <f>Table7281822432[[#This Row],[DBA]]&amp;" - "&amp;Table7281822432[[#This Row],[BIN]]&amp;" - "&amp;Table7281822432[[#This Row],[CAID]]</f>
        <v xml:space="preserve"> -  - </v>
      </c>
      <c r="N186" s="90"/>
    </row>
    <row r="187" spans="8:14" x14ac:dyDescent="0.25">
      <c r="H187" s="91"/>
      <c r="I187" s="91"/>
      <c r="J187" s="97"/>
      <c r="K187" s="79"/>
      <c r="L187" s="79"/>
      <c r="M187" s="79" t="str">
        <f>Table7281822432[[#This Row],[DBA]]&amp;" - "&amp;Table7281822432[[#This Row],[BIN]]&amp;" - "&amp;Table7281822432[[#This Row],[CAID]]</f>
        <v xml:space="preserve"> -  - </v>
      </c>
      <c r="N187" s="90"/>
    </row>
    <row r="188" spans="8:14" x14ac:dyDescent="0.25">
      <c r="H188" s="91"/>
      <c r="I188" s="91"/>
      <c r="J188" s="97"/>
      <c r="K188" s="79"/>
      <c r="L188" s="79"/>
      <c r="M188" s="79" t="str">
        <f>Table7281822432[[#This Row],[DBA]]&amp;" - "&amp;Table7281822432[[#This Row],[BIN]]&amp;" - "&amp;Table7281822432[[#This Row],[CAID]]</f>
        <v xml:space="preserve"> -  - </v>
      </c>
      <c r="N188" s="90"/>
    </row>
    <row r="189" spans="8:14" x14ac:dyDescent="0.25">
      <c r="H189" s="91"/>
      <c r="I189" s="91"/>
      <c r="J189" s="97"/>
      <c r="K189" s="79"/>
      <c r="L189" s="79"/>
      <c r="M189" s="79" t="str">
        <f>Table7281822432[[#This Row],[DBA]]&amp;" - "&amp;Table7281822432[[#This Row],[BIN]]&amp;" - "&amp;Table7281822432[[#This Row],[CAID]]</f>
        <v xml:space="preserve"> -  - </v>
      </c>
      <c r="N189" s="90"/>
    </row>
    <row r="190" spans="8:14" x14ac:dyDescent="0.25">
      <c r="H190" s="91"/>
      <c r="I190" s="91"/>
      <c r="J190" s="97"/>
      <c r="K190" s="79"/>
      <c r="L190" s="79"/>
      <c r="M190" s="79" t="str">
        <f>Table7281822432[[#This Row],[DBA]]&amp;" - "&amp;Table7281822432[[#This Row],[BIN]]&amp;" - "&amp;Table7281822432[[#This Row],[CAID]]</f>
        <v xml:space="preserve"> -  - </v>
      </c>
      <c r="N190" s="90"/>
    </row>
    <row r="191" spans="8:14" x14ac:dyDescent="0.25">
      <c r="H191" s="91"/>
      <c r="I191" s="91"/>
      <c r="J191" s="97"/>
      <c r="K191" s="79"/>
      <c r="L191" s="79"/>
      <c r="M191" s="79" t="str">
        <f>Table7281822432[[#This Row],[DBA]]&amp;" - "&amp;Table7281822432[[#This Row],[BIN]]&amp;" - "&amp;Table7281822432[[#This Row],[CAID]]</f>
        <v xml:space="preserve"> -  - </v>
      </c>
      <c r="N191" s="90"/>
    </row>
    <row r="192" spans="8:14" x14ac:dyDescent="0.25">
      <c r="H192" s="91"/>
      <c r="I192" s="91"/>
      <c r="J192" s="97"/>
      <c r="K192" s="79"/>
      <c r="L192" s="79"/>
      <c r="M192" s="79" t="str">
        <f>Table7281822432[[#This Row],[DBA]]&amp;" - "&amp;Table7281822432[[#This Row],[BIN]]&amp;" - "&amp;Table7281822432[[#This Row],[CAID]]</f>
        <v xml:space="preserve"> -  - </v>
      </c>
      <c r="N192" s="90"/>
    </row>
    <row r="193" spans="8:14" x14ac:dyDescent="0.25">
      <c r="H193" s="91"/>
      <c r="I193" s="91"/>
      <c r="J193" s="97"/>
      <c r="K193" s="79"/>
      <c r="L193" s="79"/>
      <c r="M193" s="79" t="str">
        <f>Table7281822432[[#This Row],[DBA]]&amp;" - "&amp;Table7281822432[[#This Row],[BIN]]&amp;" - "&amp;Table7281822432[[#This Row],[CAID]]</f>
        <v xml:space="preserve"> -  - </v>
      </c>
      <c r="N193" s="90"/>
    </row>
    <row r="194" spans="8:14" x14ac:dyDescent="0.25">
      <c r="H194" s="91"/>
      <c r="I194" s="91"/>
      <c r="J194" s="97"/>
      <c r="K194" s="79"/>
      <c r="L194" s="79"/>
      <c r="M194" s="79" t="str">
        <f>Table7281822432[[#This Row],[DBA]]&amp;" - "&amp;Table7281822432[[#This Row],[BIN]]&amp;" - "&amp;Table7281822432[[#This Row],[CAID]]</f>
        <v xml:space="preserve"> -  - </v>
      </c>
      <c r="N194" s="90"/>
    </row>
    <row r="195" spans="8:14" x14ac:dyDescent="0.25">
      <c r="H195" s="91"/>
      <c r="I195" s="91"/>
      <c r="J195" s="97"/>
      <c r="K195" s="79"/>
      <c r="L195" s="79"/>
      <c r="M195" s="79" t="str">
        <f>Table7281822432[[#This Row],[DBA]]&amp;" - "&amp;Table7281822432[[#This Row],[BIN]]&amp;" - "&amp;Table7281822432[[#This Row],[CAID]]</f>
        <v xml:space="preserve"> -  - </v>
      </c>
      <c r="N195" s="90"/>
    </row>
    <row r="196" spans="8:14" x14ac:dyDescent="0.25">
      <c r="H196" s="91"/>
      <c r="I196" s="91"/>
      <c r="J196" s="97"/>
      <c r="K196" s="79"/>
      <c r="L196" s="79"/>
      <c r="M196" s="79" t="str">
        <f>Table7281822432[[#This Row],[DBA]]&amp;" - "&amp;Table7281822432[[#This Row],[BIN]]&amp;" - "&amp;Table7281822432[[#This Row],[CAID]]</f>
        <v xml:space="preserve"> -  - </v>
      </c>
      <c r="N196" s="90"/>
    </row>
    <row r="197" spans="8:14" x14ac:dyDescent="0.25">
      <c r="H197" s="91"/>
      <c r="I197" s="91"/>
      <c r="J197" s="97"/>
      <c r="K197" s="79"/>
      <c r="L197" s="79"/>
      <c r="M197" s="79" t="str">
        <f>Table7281822432[[#This Row],[DBA]]&amp;" - "&amp;Table7281822432[[#This Row],[BIN]]&amp;" - "&amp;Table7281822432[[#This Row],[CAID]]</f>
        <v xml:space="preserve"> -  - </v>
      </c>
      <c r="N197" s="90"/>
    </row>
    <row r="198" spans="8:14" x14ac:dyDescent="0.25">
      <c r="H198" s="91"/>
      <c r="I198" s="91"/>
      <c r="J198" s="97"/>
      <c r="K198" s="79"/>
      <c r="L198" s="79"/>
      <c r="M198" s="79" t="str">
        <f>Table7281822432[[#This Row],[DBA]]&amp;" - "&amp;Table7281822432[[#This Row],[BIN]]&amp;" - "&amp;Table7281822432[[#This Row],[CAID]]</f>
        <v xml:space="preserve"> -  - </v>
      </c>
      <c r="N198" s="90"/>
    </row>
    <row r="199" spans="8:14" x14ac:dyDescent="0.25">
      <c r="H199" s="91"/>
      <c r="I199" s="91"/>
      <c r="J199" s="97"/>
      <c r="K199" s="79"/>
      <c r="L199" s="79"/>
      <c r="M199" s="79" t="str">
        <f>Table7281822432[[#This Row],[DBA]]&amp;" - "&amp;Table7281822432[[#This Row],[BIN]]&amp;" - "&amp;Table7281822432[[#This Row],[CAID]]</f>
        <v xml:space="preserve"> -  - </v>
      </c>
      <c r="N199" s="90"/>
    </row>
    <row r="200" spans="8:14" x14ac:dyDescent="0.25">
      <c r="H200" s="91"/>
      <c r="I200" s="91"/>
      <c r="J200" s="97"/>
      <c r="K200" s="79"/>
      <c r="L200" s="79"/>
      <c r="M200" s="79" t="str">
        <f>Table7281822432[[#This Row],[DBA]]&amp;" - "&amp;Table7281822432[[#This Row],[BIN]]&amp;" - "&amp;Table7281822432[[#This Row],[CAID]]</f>
        <v xml:space="preserve"> -  - </v>
      </c>
      <c r="N200" s="90"/>
    </row>
    <row r="201" spans="8:14" x14ac:dyDescent="0.25">
      <c r="H201" s="91"/>
      <c r="I201" s="91"/>
      <c r="J201" s="97"/>
      <c r="K201" s="79"/>
      <c r="L201" s="79"/>
      <c r="M201" s="79" t="str">
        <f>Table7281822432[[#This Row],[DBA]]&amp;" - "&amp;Table7281822432[[#This Row],[BIN]]&amp;" - "&amp;Table7281822432[[#This Row],[CAID]]</f>
        <v xml:space="preserve"> -  - </v>
      </c>
      <c r="N201" s="90"/>
    </row>
    <row r="202" spans="8:14" x14ac:dyDescent="0.25">
      <c r="H202" s="91"/>
      <c r="I202" s="91"/>
      <c r="J202" s="97"/>
      <c r="K202" s="79"/>
      <c r="L202" s="79"/>
      <c r="M202" s="79" t="str">
        <f>Table7281822432[[#This Row],[DBA]]&amp;" - "&amp;Table7281822432[[#This Row],[BIN]]&amp;" - "&amp;Table7281822432[[#This Row],[CAID]]</f>
        <v xml:space="preserve"> -  - </v>
      </c>
      <c r="N202" s="90"/>
    </row>
    <row r="203" spans="8:14" x14ac:dyDescent="0.25">
      <c r="H203" s="91"/>
      <c r="I203" s="91"/>
      <c r="J203" s="97"/>
      <c r="K203" s="79"/>
      <c r="L203" s="79"/>
      <c r="M203" s="79" t="str">
        <f>Table7281822432[[#This Row],[DBA]]&amp;" - "&amp;Table7281822432[[#This Row],[BIN]]&amp;" - "&amp;Table7281822432[[#This Row],[CAID]]</f>
        <v xml:space="preserve"> -  - </v>
      </c>
      <c r="N203" s="90"/>
    </row>
    <row r="204" spans="8:14" x14ac:dyDescent="0.25">
      <c r="H204" s="91"/>
      <c r="I204" s="91"/>
      <c r="J204" s="97"/>
      <c r="K204" s="79"/>
      <c r="L204" s="79"/>
      <c r="M204" s="79" t="str">
        <f>Table7281822432[[#This Row],[DBA]]&amp;" - "&amp;Table7281822432[[#This Row],[BIN]]&amp;" - "&amp;Table7281822432[[#This Row],[CAID]]</f>
        <v xml:space="preserve"> -  - </v>
      </c>
      <c r="N204" s="90"/>
    </row>
    <row r="205" spans="8:14" x14ac:dyDescent="0.25">
      <c r="H205" s="91"/>
      <c r="I205" s="91"/>
      <c r="J205" s="97"/>
      <c r="K205" s="79"/>
      <c r="L205" s="79"/>
      <c r="M205" s="79" t="str">
        <f>Table7281822432[[#This Row],[DBA]]&amp;" - "&amp;Table7281822432[[#This Row],[BIN]]&amp;" - "&amp;Table7281822432[[#This Row],[CAID]]</f>
        <v xml:space="preserve"> -  - </v>
      </c>
      <c r="N205" s="90"/>
    </row>
    <row r="206" spans="8:14" x14ac:dyDescent="0.25">
      <c r="H206" s="91"/>
      <c r="I206" s="91"/>
      <c r="J206" s="97"/>
      <c r="K206" s="79"/>
      <c r="L206" s="79"/>
      <c r="M206" s="79" t="str">
        <f>Table7281822432[[#This Row],[DBA]]&amp;" - "&amp;Table7281822432[[#This Row],[BIN]]&amp;" - "&amp;Table7281822432[[#This Row],[CAID]]</f>
        <v xml:space="preserve"> -  - </v>
      </c>
      <c r="N206" s="90"/>
    </row>
    <row r="207" spans="8:14" x14ac:dyDescent="0.25">
      <c r="H207" s="91"/>
      <c r="I207" s="91"/>
      <c r="J207" s="97"/>
      <c r="K207" s="79"/>
      <c r="L207" s="79"/>
      <c r="M207" s="79" t="str">
        <f>Table7281822432[[#This Row],[DBA]]&amp;" - "&amp;Table7281822432[[#This Row],[BIN]]&amp;" - "&amp;Table7281822432[[#This Row],[CAID]]</f>
        <v xml:space="preserve"> -  - </v>
      </c>
      <c r="N207" s="90"/>
    </row>
    <row r="208" spans="8:14" x14ac:dyDescent="0.25">
      <c r="H208" s="91"/>
      <c r="I208" s="91"/>
      <c r="J208" s="97"/>
      <c r="K208" s="79"/>
      <c r="L208" s="79"/>
      <c r="M208" s="79" t="str">
        <f>Table7281822432[[#This Row],[DBA]]&amp;" - "&amp;Table7281822432[[#This Row],[BIN]]&amp;" - "&amp;Table7281822432[[#This Row],[CAID]]</f>
        <v xml:space="preserve"> -  - </v>
      </c>
      <c r="N208" s="90"/>
    </row>
    <row r="209" spans="8:14" x14ac:dyDescent="0.25">
      <c r="H209" s="91"/>
      <c r="I209" s="91"/>
      <c r="J209" s="97"/>
      <c r="K209" s="79"/>
      <c r="L209" s="79"/>
      <c r="M209" s="79" t="str">
        <f>Table7281822432[[#This Row],[DBA]]&amp;" - "&amp;Table7281822432[[#This Row],[BIN]]&amp;" - "&amp;Table7281822432[[#This Row],[CAID]]</f>
        <v xml:space="preserve"> -  - </v>
      </c>
      <c r="N209" s="90"/>
    </row>
    <row r="210" spans="8:14" x14ac:dyDescent="0.25">
      <c r="H210" s="91"/>
      <c r="I210" s="91"/>
      <c r="J210" s="97"/>
      <c r="K210" s="79"/>
      <c r="L210" s="79"/>
      <c r="M210" s="79" t="str">
        <f>Table7281822432[[#This Row],[DBA]]&amp;" - "&amp;Table7281822432[[#This Row],[BIN]]&amp;" - "&amp;Table7281822432[[#This Row],[CAID]]</f>
        <v xml:space="preserve"> -  - </v>
      </c>
      <c r="N210" s="90"/>
    </row>
    <row r="211" spans="8:14" x14ac:dyDescent="0.25">
      <c r="H211" s="91"/>
      <c r="I211" s="91"/>
      <c r="J211" s="97"/>
      <c r="K211" s="79"/>
      <c r="L211" s="79"/>
      <c r="M211" s="79" t="str">
        <f>Table7281822432[[#This Row],[DBA]]&amp;" - "&amp;Table7281822432[[#This Row],[BIN]]&amp;" - "&amp;Table7281822432[[#This Row],[CAID]]</f>
        <v xml:space="preserve"> -  - </v>
      </c>
      <c r="N211" s="90"/>
    </row>
    <row r="212" spans="8:14" x14ac:dyDescent="0.25">
      <c r="H212" s="91"/>
      <c r="I212" s="91"/>
      <c r="J212" s="97"/>
      <c r="K212" s="79"/>
      <c r="L212" s="79"/>
      <c r="M212" s="79" t="str">
        <f>Table7281822432[[#This Row],[DBA]]&amp;" - "&amp;Table7281822432[[#This Row],[BIN]]&amp;" - "&amp;Table7281822432[[#This Row],[CAID]]</f>
        <v xml:space="preserve"> -  - </v>
      </c>
      <c r="N212" s="90"/>
    </row>
    <row r="213" spans="8:14" x14ac:dyDescent="0.25">
      <c r="H213" s="91"/>
      <c r="I213" s="91"/>
      <c r="J213" s="97"/>
      <c r="K213" s="79"/>
      <c r="L213" s="79"/>
      <c r="M213" s="79" t="str">
        <f>Table7281822432[[#This Row],[DBA]]&amp;" - "&amp;Table7281822432[[#This Row],[BIN]]&amp;" - "&amp;Table7281822432[[#This Row],[CAID]]</f>
        <v xml:space="preserve"> -  - </v>
      </c>
      <c r="N213" s="90"/>
    </row>
    <row r="214" spans="8:14" x14ac:dyDescent="0.25">
      <c r="H214" s="91"/>
      <c r="I214" s="91"/>
      <c r="J214" s="97"/>
      <c r="K214" s="79"/>
      <c r="L214" s="79"/>
      <c r="M214" s="79" t="str">
        <f>Table7281822432[[#This Row],[DBA]]&amp;" - "&amp;Table7281822432[[#This Row],[BIN]]&amp;" - "&amp;Table7281822432[[#This Row],[CAID]]</f>
        <v xml:space="preserve"> -  - </v>
      </c>
      <c r="N214" s="90"/>
    </row>
    <row r="215" spans="8:14" x14ac:dyDescent="0.25">
      <c r="H215" s="91"/>
      <c r="I215" s="91"/>
      <c r="J215" s="97"/>
      <c r="K215" s="79"/>
      <c r="L215" s="79"/>
      <c r="M215" s="79" t="str">
        <f>Table7281822432[[#This Row],[DBA]]&amp;" - "&amp;Table7281822432[[#This Row],[BIN]]&amp;" - "&amp;Table7281822432[[#This Row],[CAID]]</f>
        <v xml:space="preserve"> -  - </v>
      </c>
      <c r="N215" s="90"/>
    </row>
    <row r="216" spans="8:14" x14ac:dyDescent="0.25">
      <c r="H216" s="91"/>
      <c r="I216" s="91"/>
      <c r="J216" s="97"/>
      <c r="K216" s="79"/>
      <c r="L216" s="79"/>
      <c r="M216" s="79" t="str">
        <f>Table7281822432[[#This Row],[DBA]]&amp;" - "&amp;Table7281822432[[#This Row],[BIN]]&amp;" - "&amp;Table7281822432[[#This Row],[CAID]]</f>
        <v xml:space="preserve"> -  - </v>
      </c>
      <c r="N216" s="90"/>
    </row>
    <row r="217" spans="8:14" x14ac:dyDescent="0.25">
      <c r="H217" s="91"/>
      <c r="I217" s="91"/>
      <c r="J217" s="97"/>
      <c r="K217" s="79"/>
      <c r="L217" s="79"/>
      <c r="M217" s="79" t="str">
        <f>Table7281822432[[#This Row],[DBA]]&amp;" - "&amp;Table7281822432[[#This Row],[BIN]]&amp;" - "&amp;Table7281822432[[#This Row],[CAID]]</f>
        <v xml:space="preserve"> -  - </v>
      </c>
      <c r="N217" s="90"/>
    </row>
    <row r="218" spans="8:14" x14ac:dyDescent="0.25">
      <c r="H218" s="91"/>
      <c r="I218" s="91"/>
      <c r="J218" s="97"/>
      <c r="K218" s="79"/>
      <c r="L218" s="79"/>
      <c r="M218" s="79" t="str">
        <f>Table7281822432[[#This Row],[DBA]]&amp;" - "&amp;Table7281822432[[#This Row],[BIN]]&amp;" - "&amp;Table7281822432[[#This Row],[CAID]]</f>
        <v xml:space="preserve"> -  - </v>
      </c>
      <c r="N218" s="90"/>
    </row>
    <row r="219" spans="8:14" x14ac:dyDescent="0.25">
      <c r="H219" s="91"/>
      <c r="I219" s="91"/>
      <c r="J219" s="97"/>
      <c r="K219" s="79"/>
      <c r="L219" s="79"/>
      <c r="M219" s="79" t="str">
        <f>Table7281822432[[#This Row],[DBA]]&amp;" - "&amp;Table7281822432[[#This Row],[BIN]]&amp;" - "&amp;Table7281822432[[#This Row],[CAID]]</f>
        <v xml:space="preserve"> -  - </v>
      </c>
      <c r="N219" s="90"/>
    </row>
    <row r="220" spans="8:14" x14ac:dyDescent="0.25">
      <c r="H220" s="91"/>
      <c r="I220" s="91"/>
      <c r="J220" s="97"/>
      <c r="K220" s="79"/>
      <c r="L220" s="79"/>
      <c r="M220" s="79" t="str">
        <f>Table7281822432[[#This Row],[DBA]]&amp;" - "&amp;Table7281822432[[#This Row],[BIN]]&amp;" - "&amp;Table7281822432[[#This Row],[CAID]]</f>
        <v xml:space="preserve"> -  - </v>
      </c>
      <c r="N220" s="90"/>
    </row>
    <row r="221" spans="8:14" x14ac:dyDescent="0.25">
      <c r="H221" s="91"/>
      <c r="I221" s="91"/>
      <c r="J221" s="97"/>
      <c r="K221" s="79"/>
      <c r="L221" s="79"/>
      <c r="M221" s="79" t="str">
        <f>Table7281822432[[#This Row],[DBA]]&amp;" - "&amp;Table7281822432[[#This Row],[BIN]]&amp;" - "&amp;Table7281822432[[#This Row],[CAID]]</f>
        <v xml:space="preserve"> -  - </v>
      </c>
      <c r="N221" s="90"/>
    </row>
    <row r="222" spans="8:14" x14ac:dyDescent="0.25">
      <c r="H222" s="91"/>
      <c r="I222" s="91"/>
      <c r="J222" s="97"/>
      <c r="K222" s="79"/>
      <c r="L222" s="79"/>
      <c r="M222" s="79" t="str">
        <f>Table7281822432[[#This Row],[DBA]]&amp;" - "&amp;Table7281822432[[#This Row],[BIN]]&amp;" - "&amp;Table7281822432[[#This Row],[CAID]]</f>
        <v xml:space="preserve"> -  - </v>
      </c>
      <c r="N222" s="90"/>
    </row>
    <row r="223" spans="8:14" x14ac:dyDescent="0.25">
      <c r="H223" s="91"/>
      <c r="I223" s="91"/>
      <c r="J223" s="97"/>
      <c r="K223" s="79"/>
      <c r="L223" s="79"/>
      <c r="M223" s="79" t="str">
        <f>Table7281822432[[#This Row],[DBA]]&amp;" - "&amp;Table7281822432[[#This Row],[BIN]]&amp;" - "&amp;Table7281822432[[#This Row],[CAID]]</f>
        <v xml:space="preserve"> -  - </v>
      </c>
      <c r="N223" s="90"/>
    </row>
    <row r="224" spans="8:14" x14ac:dyDescent="0.25">
      <c r="H224" s="91"/>
      <c r="I224" s="91"/>
      <c r="J224" s="97"/>
      <c r="K224" s="79"/>
      <c r="L224" s="79"/>
      <c r="M224" s="79" t="str">
        <f>Table7281822432[[#This Row],[DBA]]&amp;" - "&amp;Table7281822432[[#This Row],[BIN]]&amp;" - "&amp;Table7281822432[[#This Row],[CAID]]</f>
        <v xml:space="preserve"> -  - </v>
      </c>
      <c r="N224" s="90"/>
    </row>
    <row r="225" spans="8:14" x14ac:dyDescent="0.25">
      <c r="H225" s="91"/>
      <c r="I225" s="91"/>
      <c r="J225" s="97"/>
      <c r="K225" s="79"/>
      <c r="L225" s="79"/>
      <c r="M225" s="79" t="str">
        <f>Table7281822432[[#This Row],[DBA]]&amp;" - "&amp;Table7281822432[[#This Row],[BIN]]&amp;" - "&amp;Table7281822432[[#This Row],[CAID]]</f>
        <v xml:space="preserve"> -  - </v>
      </c>
      <c r="N225" s="90"/>
    </row>
    <row r="226" spans="8:14" x14ac:dyDescent="0.25">
      <c r="H226" s="91"/>
      <c r="I226" s="91"/>
      <c r="J226" s="97"/>
      <c r="K226" s="79"/>
      <c r="L226" s="79"/>
      <c r="M226" s="79" t="str">
        <f>Table7281822432[[#This Row],[DBA]]&amp;" - "&amp;Table7281822432[[#This Row],[BIN]]&amp;" - "&amp;Table7281822432[[#This Row],[CAID]]</f>
        <v xml:space="preserve"> -  - </v>
      </c>
      <c r="N226" s="90"/>
    </row>
    <row r="227" spans="8:14" x14ac:dyDescent="0.25">
      <c r="H227" s="91"/>
      <c r="I227" s="91"/>
      <c r="J227" s="97"/>
      <c r="K227" s="79"/>
      <c r="L227" s="79"/>
      <c r="M227" s="79" t="str">
        <f>Table7281822432[[#This Row],[DBA]]&amp;" - "&amp;Table7281822432[[#This Row],[BIN]]&amp;" - "&amp;Table7281822432[[#This Row],[CAID]]</f>
        <v xml:space="preserve"> -  - </v>
      </c>
      <c r="N227" s="90"/>
    </row>
    <row r="228" spans="8:14" x14ac:dyDescent="0.25">
      <c r="H228" s="91"/>
      <c r="I228" s="91"/>
      <c r="J228" s="97"/>
      <c r="K228" s="79"/>
      <c r="L228" s="79"/>
      <c r="M228" s="79" t="str">
        <f>Table7281822432[[#This Row],[DBA]]&amp;" - "&amp;Table7281822432[[#This Row],[BIN]]&amp;" - "&amp;Table7281822432[[#This Row],[CAID]]</f>
        <v xml:space="preserve"> -  - </v>
      </c>
      <c r="N228" s="90"/>
    </row>
    <row r="229" spans="8:14" x14ac:dyDescent="0.25">
      <c r="H229" s="91"/>
      <c r="I229" s="91"/>
      <c r="J229" s="97"/>
      <c r="K229" s="79"/>
      <c r="L229" s="79"/>
      <c r="M229" s="79" t="str">
        <f>Table7281822432[[#This Row],[DBA]]&amp;" - "&amp;Table7281822432[[#This Row],[BIN]]&amp;" - "&amp;Table7281822432[[#This Row],[CAID]]</f>
        <v xml:space="preserve"> -  - </v>
      </c>
      <c r="N229" s="90"/>
    </row>
    <row r="230" spans="8:14" x14ac:dyDescent="0.25">
      <c r="H230" s="91"/>
      <c r="I230" s="91"/>
      <c r="J230" s="97"/>
      <c r="K230" s="79"/>
      <c r="L230" s="79"/>
      <c r="M230" s="79" t="str">
        <f>Table7281822432[[#This Row],[DBA]]&amp;" - "&amp;Table7281822432[[#This Row],[BIN]]&amp;" - "&amp;Table7281822432[[#This Row],[CAID]]</f>
        <v xml:space="preserve"> -  - </v>
      </c>
      <c r="N230" s="90"/>
    </row>
    <row r="231" spans="8:14" x14ac:dyDescent="0.25">
      <c r="H231" s="91"/>
      <c r="I231" s="91"/>
      <c r="J231" s="97"/>
      <c r="K231" s="79"/>
      <c r="L231" s="79"/>
      <c r="M231" s="79" t="str">
        <f>Table7281822432[[#This Row],[DBA]]&amp;" - "&amp;Table7281822432[[#This Row],[BIN]]&amp;" - "&amp;Table7281822432[[#This Row],[CAID]]</f>
        <v xml:space="preserve"> -  - </v>
      </c>
      <c r="N231" s="90"/>
    </row>
    <row r="232" spans="8:14" x14ac:dyDescent="0.25">
      <c r="H232" s="91"/>
      <c r="I232" s="91"/>
      <c r="J232" s="97"/>
      <c r="K232" s="79"/>
      <c r="L232" s="79"/>
      <c r="M232" s="79" t="str">
        <f>Table7281822432[[#This Row],[DBA]]&amp;" - "&amp;Table7281822432[[#This Row],[BIN]]&amp;" - "&amp;Table7281822432[[#This Row],[CAID]]</f>
        <v xml:space="preserve"> -  - </v>
      </c>
      <c r="N232" s="90"/>
    </row>
    <row r="233" spans="8:14" x14ac:dyDescent="0.25">
      <c r="H233" s="91"/>
      <c r="I233" s="91"/>
      <c r="J233" s="97"/>
      <c r="K233" s="79"/>
      <c r="L233" s="79"/>
      <c r="M233" s="79" t="str">
        <f>Table7281822432[[#This Row],[DBA]]&amp;" - "&amp;Table7281822432[[#This Row],[BIN]]&amp;" - "&amp;Table7281822432[[#This Row],[CAID]]</f>
        <v xml:space="preserve"> -  - </v>
      </c>
      <c r="N233" s="90"/>
    </row>
    <row r="234" spans="8:14" x14ac:dyDescent="0.25">
      <c r="H234" s="91"/>
      <c r="I234" s="91"/>
      <c r="J234" s="97"/>
      <c r="K234" s="79"/>
      <c r="L234" s="79"/>
      <c r="M234" s="79" t="str">
        <f>Table7281822432[[#This Row],[DBA]]&amp;" - "&amp;Table7281822432[[#This Row],[BIN]]&amp;" - "&amp;Table7281822432[[#This Row],[CAID]]</f>
        <v xml:space="preserve"> -  - </v>
      </c>
      <c r="N234" s="90"/>
    </row>
    <row r="235" spans="8:14" x14ac:dyDescent="0.25">
      <c r="H235" s="91"/>
      <c r="I235" s="91"/>
      <c r="J235" s="97"/>
      <c r="K235" s="79"/>
      <c r="L235" s="79"/>
      <c r="M235" s="79" t="str">
        <f>Table7281822432[[#This Row],[DBA]]&amp;" - "&amp;Table7281822432[[#This Row],[BIN]]&amp;" - "&amp;Table7281822432[[#This Row],[CAID]]</f>
        <v xml:space="preserve"> -  - </v>
      </c>
      <c r="N235" s="90"/>
    </row>
    <row r="236" spans="8:14" x14ac:dyDescent="0.25">
      <c r="H236" s="91"/>
      <c r="I236" s="91"/>
      <c r="J236" s="97"/>
      <c r="K236" s="79"/>
      <c r="L236" s="79"/>
      <c r="M236" s="79" t="str">
        <f>Table7281822432[[#This Row],[DBA]]&amp;" - "&amp;Table7281822432[[#This Row],[BIN]]&amp;" - "&amp;Table7281822432[[#This Row],[CAID]]</f>
        <v xml:space="preserve"> -  - </v>
      </c>
      <c r="N236" s="90"/>
    </row>
    <row r="237" spans="8:14" x14ac:dyDescent="0.25">
      <c r="H237" s="91"/>
      <c r="I237" s="91"/>
      <c r="J237" s="97"/>
      <c r="K237" s="79"/>
      <c r="L237" s="79"/>
      <c r="M237" s="79" t="str">
        <f>Table7281822432[[#This Row],[DBA]]&amp;" - "&amp;Table7281822432[[#This Row],[BIN]]&amp;" - "&amp;Table7281822432[[#This Row],[CAID]]</f>
        <v xml:space="preserve"> -  - </v>
      </c>
      <c r="N237" s="90"/>
    </row>
    <row r="238" spans="8:14" x14ac:dyDescent="0.25">
      <c r="H238" s="91"/>
      <c r="I238" s="91"/>
      <c r="J238" s="97"/>
      <c r="K238" s="79"/>
      <c r="L238" s="79"/>
      <c r="M238" s="79" t="str">
        <f>Table7281822432[[#This Row],[DBA]]&amp;" - "&amp;Table7281822432[[#This Row],[BIN]]&amp;" - "&amp;Table7281822432[[#This Row],[CAID]]</f>
        <v xml:space="preserve"> -  - </v>
      </c>
      <c r="N238" s="90"/>
    </row>
    <row r="239" spans="8:14" x14ac:dyDescent="0.25">
      <c r="H239" s="91"/>
      <c r="I239" s="91"/>
      <c r="J239" s="97"/>
      <c r="K239" s="79"/>
      <c r="L239" s="79"/>
      <c r="M239" s="79" t="str">
        <f>Table7281822432[[#This Row],[DBA]]&amp;" - "&amp;Table7281822432[[#This Row],[BIN]]&amp;" - "&amp;Table7281822432[[#This Row],[CAID]]</f>
        <v xml:space="preserve"> -  - </v>
      </c>
      <c r="N239" s="90"/>
    </row>
    <row r="240" spans="8:14" x14ac:dyDescent="0.25">
      <c r="H240" s="91"/>
      <c r="I240" s="91"/>
      <c r="J240" s="97"/>
      <c r="K240" s="79"/>
      <c r="L240" s="79"/>
      <c r="M240" s="79" t="str">
        <f>Table7281822432[[#This Row],[DBA]]&amp;" - "&amp;Table7281822432[[#This Row],[BIN]]&amp;" - "&amp;Table7281822432[[#This Row],[CAID]]</f>
        <v xml:space="preserve"> -  - </v>
      </c>
      <c r="N240" s="90"/>
    </row>
    <row r="241" spans="8:14" x14ac:dyDescent="0.25">
      <c r="H241" s="91"/>
      <c r="I241" s="91"/>
      <c r="J241" s="97"/>
      <c r="K241" s="79"/>
      <c r="L241" s="79"/>
      <c r="M241" s="79" t="str">
        <f>Table7281822432[[#This Row],[DBA]]&amp;" - "&amp;Table7281822432[[#This Row],[BIN]]&amp;" - "&amp;Table7281822432[[#This Row],[CAID]]</f>
        <v xml:space="preserve"> -  - </v>
      </c>
      <c r="N241" s="90"/>
    </row>
    <row r="242" spans="8:14" x14ac:dyDescent="0.25">
      <c r="H242" s="91"/>
      <c r="I242" s="91"/>
      <c r="J242" s="97"/>
      <c r="K242" s="79"/>
      <c r="L242" s="79"/>
      <c r="M242" s="79" t="str">
        <f>Table7281822432[[#This Row],[DBA]]&amp;" - "&amp;Table7281822432[[#This Row],[BIN]]&amp;" - "&amp;Table7281822432[[#This Row],[CAID]]</f>
        <v xml:space="preserve"> -  - </v>
      </c>
      <c r="N242" s="90"/>
    </row>
    <row r="243" spans="8:14" x14ac:dyDescent="0.25">
      <c r="H243" s="91"/>
      <c r="I243" s="91"/>
      <c r="J243" s="97"/>
      <c r="K243" s="79"/>
      <c r="L243" s="79"/>
      <c r="M243" s="79" t="str">
        <f>Table7281822432[[#This Row],[DBA]]&amp;" - "&amp;Table7281822432[[#This Row],[BIN]]&amp;" - "&amp;Table7281822432[[#This Row],[CAID]]</f>
        <v xml:space="preserve"> -  - </v>
      </c>
      <c r="N243" s="90"/>
    </row>
    <row r="244" spans="8:14" x14ac:dyDescent="0.25">
      <c r="H244" s="91"/>
      <c r="I244" s="91"/>
      <c r="J244" s="97"/>
      <c r="K244" s="79"/>
      <c r="L244" s="79"/>
      <c r="M244" s="79" t="str">
        <f>Table7281822432[[#This Row],[DBA]]&amp;" - "&amp;Table7281822432[[#This Row],[BIN]]&amp;" - "&amp;Table7281822432[[#This Row],[CAID]]</f>
        <v xml:space="preserve"> -  - </v>
      </c>
      <c r="N244" s="90"/>
    </row>
    <row r="245" spans="8:14" x14ac:dyDescent="0.25">
      <c r="H245" s="91"/>
      <c r="I245" s="91"/>
      <c r="J245" s="97"/>
      <c r="K245" s="79"/>
      <c r="L245" s="79"/>
      <c r="M245" s="79" t="str">
        <f>Table7281822432[[#This Row],[DBA]]&amp;" - "&amp;Table7281822432[[#This Row],[BIN]]&amp;" - "&amp;Table7281822432[[#This Row],[CAID]]</f>
        <v xml:space="preserve"> -  - </v>
      </c>
      <c r="N245" s="90"/>
    </row>
    <row r="246" spans="8:14" x14ac:dyDescent="0.25">
      <c r="H246" s="91"/>
      <c r="I246" s="91"/>
      <c r="J246" s="97"/>
      <c r="K246" s="79"/>
      <c r="L246" s="79"/>
      <c r="M246" s="79" t="str">
        <f>Table7281822432[[#This Row],[DBA]]&amp;" - "&amp;Table7281822432[[#This Row],[BIN]]&amp;" - "&amp;Table7281822432[[#This Row],[CAID]]</f>
        <v xml:space="preserve"> -  - </v>
      </c>
      <c r="N246" s="90"/>
    </row>
    <row r="247" spans="8:14" x14ac:dyDescent="0.25">
      <c r="H247" s="91"/>
      <c r="I247" s="91"/>
      <c r="J247" s="97"/>
      <c r="K247" s="79"/>
      <c r="L247" s="79"/>
      <c r="M247" s="79" t="str">
        <f>Table7281822432[[#This Row],[DBA]]&amp;" - "&amp;Table7281822432[[#This Row],[BIN]]&amp;" - "&amp;Table7281822432[[#This Row],[CAID]]</f>
        <v xml:space="preserve"> -  - </v>
      </c>
      <c r="N247" s="90"/>
    </row>
    <row r="248" spans="8:14" x14ac:dyDescent="0.25">
      <c r="H248" s="91"/>
      <c r="I248" s="91"/>
      <c r="J248" s="97"/>
      <c r="K248" s="79"/>
      <c r="L248" s="79"/>
      <c r="M248" s="79" t="str">
        <f>Table7281822432[[#This Row],[DBA]]&amp;" - "&amp;Table7281822432[[#This Row],[BIN]]&amp;" - "&amp;Table7281822432[[#This Row],[CAID]]</f>
        <v xml:space="preserve"> -  - </v>
      </c>
      <c r="N248" s="90"/>
    </row>
    <row r="249" spans="8:14" x14ac:dyDescent="0.25">
      <c r="H249" s="91"/>
      <c r="I249" s="91"/>
      <c r="J249" s="97"/>
      <c r="K249" s="79"/>
      <c r="L249" s="79"/>
      <c r="M249" s="79" t="str">
        <f>Table7281822432[[#This Row],[DBA]]&amp;" - "&amp;Table7281822432[[#This Row],[BIN]]&amp;" - "&amp;Table7281822432[[#This Row],[CAID]]</f>
        <v xml:space="preserve"> -  - </v>
      </c>
      <c r="N249" s="90"/>
    </row>
    <row r="250" spans="8:14" x14ac:dyDescent="0.25">
      <c r="H250" s="91"/>
      <c r="I250" s="91"/>
      <c r="J250" s="97"/>
      <c r="K250" s="79"/>
      <c r="L250" s="79"/>
      <c r="M250" s="79" t="str">
        <f>Table7281822432[[#This Row],[DBA]]&amp;" - "&amp;Table7281822432[[#This Row],[BIN]]&amp;" - "&amp;Table7281822432[[#This Row],[CAID]]</f>
        <v xml:space="preserve"> -  - </v>
      </c>
      <c r="N250" s="90"/>
    </row>
    <row r="251" spans="8:14" x14ac:dyDescent="0.25">
      <c r="H251" s="91"/>
      <c r="I251" s="91"/>
      <c r="J251" s="97"/>
      <c r="K251" s="79"/>
      <c r="L251" s="79"/>
      <c r="M251" s="79" t="str">
        <f>Table7281822432[[#This Row],[DBA]]&amp;" - "&amp;Table7281822432[[#This Row],[BIN]]&amp;" - "&amp;Table7281822432[[#This Row],[CAID]]</f>
        <v xml:space="preserve"> -  - </v>
      </c>
      <c r="N251" s="90"/>
    </row>
    <row r="252" spans="8:14" x14ac:dyDescent="0.25">
      <c r="H252" s="91"/>
      <c r="I252" s="91"/>
      <c r="J252" s="97"/>
      <c r="K252" s="79"/>
      <c r="L252" s="79"/>
      <c r="M252" s="79" t="str">
        <f>Table7281822432[[#This Row],[DBA]]&amp;" - "&amp;Table7281822432[[#This Row],[BIN]]&amp;" - "&amp;Table7281822432[[#This Row],[CAID]]</f>
        <v xml:space="preserve"> -  - </v>
      </c>
      <c r="N252" s="90"/>
    </row>
    <row r="253" spans="8:14" x14ac:dyDescent="0.25">
      <c r="H253" s="91"/>
      <c r="I253" s="91"/>
      <c r="J253" s="97"/>
      <c r="K253" s="79"/>
      <c r="L253" s="79"/>
      <c r="M253" s="79" t="str">
        <f>Table7281822432[[#This Row],[DBA]]&amp;" - "&amp;Table7281822432[[#This Row],[BIN]]&amp;" - "&amp;Table7281822432[[#This Row],[CAID]]</f>
        <v xml:space="preserve"> -  - </v>
      </c>
      <c r="N253" s="90"/>
    </row>
    <row r="254" spans="8:14" x14ac:dyDescent="0.25">
      <c r="H254" s="91"/>
      <c r="I254" s="91"/>
      <c r="J254" s="97"/>
      <c r="K254" s="79"/>
      <c r="L254" s="79"/>
      <c r="M254" s="79" t="str">
        <f>Table7281822432[[#This Row],[DBA]]&amp;" - "&amp;Table7281822432[[#This Row],[BIN]]&amp;" - "&amp;Table7281822432[[#This Row],[CAID]]</f>
        <v xml:space="preserve"> -  - </v>
      </c>
      <c r="N254" s="90"/>
    </row>
    <row r="255" spans="8:14" x14ac:dyDescent="0.25">
      <c r="H255" s="91"/>
      <c r="I255" s="91"/>
      <c r="J255" s="97"/>
      <c r="K255" s="79"/>
      <c r="L255" s="79"/>
      <c r="M255" s="79" t="str">
        <f>Table7281822432[[#This Row],[DBA]]&amp;" - "&amp;Table7281822432[[#This Row],[BIN]]&amp;" - "&amp;Table7281822432[[#This Row],[CAID]]</f>
        <v xml:space="preserve"> -  - </v>
      </c>
      <c r="N255" s="90"/>
    </row>
    <row r="256" spans="8:14" x14ac:dyDescent="0.25">
      <c r="H256" s="91"/>
      <c r="I256" s="91"/>
      <c r="J256" s="97"/>
      <c r="K256" s="79"/>
      <c r="L256" s="79"/>
      <c r="M256" s="79" t="str">
        <f>Table7281822432[[#This Row],[DBA]]&amp;" - "&amp;Table7281822432[[#This Row],[BIN]]&amp;" - "&amp;Table7281822432[[#This Row],[CAID]]</f>
        <v xml:space="preserve"> -  - </v>
      </c>
      <c r="N256" s="90"/>
    </row>
    <row r="257" spans="8:14" x14ac:dyDescent="0.25">
      <c r="H257" s="91"/>
      <c r="I257" s="91"/>
      <c r="J257" s="97"/>
      <c r="K257" s="79"/>
      <c r="L257" s="79"/>
      <c r="M257" s="79" t="str">
        <f>Table7281822432[[#This Row],[DBA]]&amp;" - "&amp;Table7281822432[[#This Row],[BIN]]&amp;" - "&amp;Table7281822432[[#This Row],[CAID]]</f>
        <v xml:space="preserve"> -  - </v>
      </c>
      <c r="N257" s="90"/>
    </row>
    <row r="258" spans="8:14" x14ac:dyDescent="0.25">
      <c r="H258" s="91"/>
      <c r="I258" s="91"/>
      <c r="J258" s="97"/>
      <c r="K258" s="79"/>
      <c r="L258" s="79"/>
      <c r="M258" s="79" t="str">
        <f>Table7281822432[[#This Row],[DBA]]&amp;" - "&amp;Table7281822432[[#This Row],[BIN]]&amp;" - "&amp;Table7281822432[[#This Row],[CAID]]</f>
        <v xml:space="preserve"> -  - </v>
      </c>
      <c r="N258" s="90"/>
    </row>
    <row r="259" spans="8:14" x14ac:dyDescent="0.25">
      <c r="H259" s="91"/>
      <c r="I259" s="91"/>
      <c r="J259" s="97"/>
      <c r="K259" s="79"/>
      <c r="L259" s="79"/>
      <c r="M259" s="79" t="str">
        <f>Table7281822432[[#This Row],[DBA]]&amp;" - "&amp;Table7281822432[[#This Row],[BIN]]&amp;" - "&amp;Table7281822432[[#This Row],[CAID]]</f>
        <v xml:space="preserve"> -  - </v>
      </c>
      <c r="N259" s="90"/>
    </row>
    <row r="260" spans="8:14" x14ac:dyDescent="0.25">
      <c r="H260" s="91"/>
      <c r="I260" s="91"/>
      <c r="J260" s="97"/>
      <c r="K260" s="79"/>
      <c r="L260" s="79"/>
      <c r="M260" s="79" t="str">
        <f>Table7281822432[[#This Row],[DBA]]&amp;" - "&amp;Table7281822432[[#This Row],[BIN]]&amp;" - "&amp;Table7281822432[[#This Row],[CAID]]</f>
        <v xml:space="preserve"> -  - </v>
      </c>
      <c r="N260" s="90"/>
    </row>
    <row r="261" spans="8:14" x14ac:dyDescent="0.25">
      <c r="H261" s="91"/>
      <c r="I261" s="91"/>
      <c r="J261" s="97"/>
      <c r="K261" s="79"/>
      <c r="L261" s="79"/>
      <c r="M261" s="79" t="str">
        <f>Table7281822432[[#This Row],[DBA]]&amp;" - "&amp;Table7281822432[[#This Row],[BIN]]&amp;" - "&amp;Table7281822432[[#This Row],[CAID]]</f>
        <v xml:space="preserve"> -  - </v>
      </c>
      <c r="N261" s="90"/>
    </row>
    <row r="262" spans="8:14" x14ac:dyDescent="0.25">
      <c r="H262" s="91"/>
      <c r="I262" s="91"/>
      <c r="J262" s="97"/>
      <c r="K262" s="79"/>
      <c r="L262" s="79"/>
      <c r="M262" s="79" t="str">
        <f>Table7281822432[[#This Row],[DBA]]&amp;" - "&amp;Table7281822432[[#This Row],[BIN]]&amp;" - "&amp;Table7281822432[[#This Row],[CAID]]</f>
        <v xml:space="preserve"> -  - </v>
      </c>
      <c r="N262" s="90"/>
    </row>
    <row r="263" spans="8:14" x14ac:dyDescent="0.25">
      <c r="H263" s="91"/>
      <c r="I263" s="91"/>
      <c r="J263" s="97"/>
      <c r="K263" s="79"/>
      <c r="L263" s="79"/>
      <c r="M263" s="79" t="str">
        <f>Table7281822432[[#This Row],[DBA]]&amp;" - "&amp;Table7281822432[[#This Row],[BIN]]&amp;" - "&amp;Table7281822432[[#This Row],[CAID]]</f>
        <v xml:space="preserve"> -  - </v>
      </c>
      <c r="N263" s="90"/>
    </row>
    <row r="264" spans="8:14" x14ac:dyDescent="0.25">
      <c r="H264" s="91"/>
      <c r="I264" s="91"/>
      <c r="J264" s="97"/>
      <c r="K264" s="79"/>
      <c r="L264" s="79"/>
      <c r="M264" s="79" t="str">
        <f>Table7281822432[[#This Row],[DBA]]&amp;" - "&amp;Table7281822432[[#This Row],[BIN]]&amp;" - "&amp;Table7281822432[[#This Row],[CAID]]</f>
        <v xml:space="preserve"> -  - </v>
      </c>
      <c r="N264" s="90"/>
    </row>
    <row r="265" spans="8:14" x14ac:dyDescent="0.25">
      <c r="H265" s="91"/>
      <c r="I265" s="91"/>
      <c r="J265" s="97"/>
      <c r="K265" s="79"/>
      <c r="L265" s="79"/>
      <c r="M265" s="79" t="str">
        <f>Table7281822432[[#This Row],[DBA]]&amp;" - "&amp;Table7281822432[[#This Row],[BIN]]&amp;" - "&amp;Table7281822432[[#This Row],[CAID]]</f>
        <v xml:space="preserve"> -  - </v>
      </c>
      <c r="N265" s="90"/>
    </row>
    <row r="266" spans="8:14" x14ac:dyDescent="0.25">
      <c r="H266" s="91"/>
      <c r="I266" s="91"/>
      <c r="J266" s="97"/>
      <c r="K266" s="79"/>
      <c r="L266" s="79"/>
      <c r="M266" s="79" t="str">
        <f>Table7281822432[[#This Row],[DBA]]&amp;" - "&amp;Table7281822432[[#This Row],[BIN]]&amp;" - "&amp;Table7281822432[[#This Row],[CAID]]</f>
        <v xml:space="preserve"> -  - </v>
      </c>
      <c r="N266" s="90"/>
    </row>
    <row r="267" spans="8:14" x14ac:dyDescent="0.25">
      <c r="H267" s="91"/>
      <c r="I267" s="91"/>
      <c r="J267" s="97"/>
      <c r="K267" s="79"/>
      <c r="L267" s="79"/>
      <c r="M267" s="79" t="str">
        <f>Table7281822432[[#This Row],[DBA]]&amp;" - "&amp;Table7281822432[[#This Row],[BIN]]&amp;" - "&amp;Table7281822432[[#This Row],[CAID]]</f>
        <v xml:space="preserve"> -  - </v>
      </c>
      <c r="N267" s="90"/>
    </row>
    <row r="268" spans="8:14" x14ac:dyDescent="0.25">
      <c r="H268" s="91"/>
      <c r="I268" s="91"/>
      <c r="J268" s="97"/>
      <c r="K268" s="79"/>
      <c r="L268" s="79"/>
      <c r="M268" s="79" t="str">
        <f>Table7281822432[[#This Row],[DBA]]&amp;" - "&amp;Table7281822432[[#This Row],[BIN]]&amp;" - "&amp;Table7281822432[[#This Row],[CAID]]</f>
        <v xml:space="preserve"> -  - </v>
      </c>
      <c r="N268" s="90"/>
    </row>
    <row r="269" spans="8:14" x14ac:dyDescent="0.25">
      <c r="H269" s="91"/>
      <c r="I269" s="91"/>
      <c r="J269" s="97"/>
      <c r="K269" s="79"/>
      <c r="L269" s="79"/>
      <c r="M269" s="79" t="str">
        <f>Table7281822432[[#This Row],[DBA]]&amp;" - "&amp;Table7281822432[[#This Row],[BIN]]&amp;" - "&amp;Table7281822432[[#This Row],[CAID]]</f>
        <v xml:space="preserve"> -  - </v>
      </c>
      <c r="N269" s="90"/>
    </row>
    <row r="270" spans="8:14" x14ac:dyDescent="0.25">
      <c r="H270" s="91"/>
      <c r="I270" s="91"/>
      <c r="J270" s="97"/>
      <c r="K270" s="79"/>
      <c r="L270" s="79"/>
      <c r="M270" s="79" t="str">
        <f>Table7281822432[[#This Row],[DBA]]&amp;" - "&amp;Table7281822432[[#This Row],[BIN]]&amp;" - "&amp;Table7281822432[[#This Row],[CAID]]</f>
        <v xml:space="preserve"> -  - </v>
      </c>
      <c r="N270" s="90"/>
    </row>
    <row r="271" spans="8:14" x14ac:dyDescent="0.25">
      <c r="H271" s="91"/>
      <c r="I271" s="91"/>
      <c r="J271" s="97"/>
      <c r="K271" s="79"/>
      <c r="L271" s="79"/>
      <c r="M271" s="79" t="str">
        <f>Table7281822432[[#This Row],[DBA]]&amp;" - "&amp;Table7281822432[[#This Row],[BIN]]&amp;" - "&amp;Table7281822432[[#This Row],[CAID]]</f>
        <v xml:space="preserve"> -  - </v>
      </c>
      <c r="N271" s="90"/>
    </row>
    <row r="272" spans="8:14" x14ac:dyDescent="0.25">
      <c r="H272" s="91"/>
      <c r="I272" s="91"/>
      <c r="J272" s="97"/>
      <c r="K272" s="79"/>
      <c r="L272" s="79"/>
      <c r="M272" s="79" t="str">
        <f>Table7281822432[[#This Row],[DBA]]&amp;" - "&amp;Table7281822432[[#This Row],[BIN]]&amp;" - "&amp;Table7281822432[[#This Row],[CAID]]</f>
        <v xml:space="preserve"> -  - </v>
      </c>
      <c r="N272" s="90"/>
    </row>
    <row r="273" spans="8:14" x14ac:dyDescent="0.25">
      <c r="H273" s="91"/>
      <c r="I273" s="91"/>
      <c r="J273" s="97"/>
      <c r="K273" s="79"/>
      <c r="L273" s="79"/>
      <c r="M273" s="79" t="str">
        <f>Table7281822432[[#This Row],[DBA]]&amp;" - "&amp;Table7281822432[[#This Row],[BIN]]&amp;" - "&amp;Table7281822432[[#This Row],[CAID]]</f>
        <v xml:space="preserve"> -  - </v>
      </c>
      <c r="N273" s="90"/>
    </row>
    <row r="274" spans="8:14" x14ac:dyDescent="0.25">
      <c r="H274" s="91"/>
      <c r="I274" s="91"/>
      <c r="J274" s="97"/>
      <c r="K274" s="79"/>
      <c r="L274" s="79"/>
      <c r="M274" s="79" t="str">
        <f>Table7281822432[[#This Row],[DBA]]&amp;" - "&amp;Table7281822432[[#This Row],[BIN]]&amp;" - "&amp;Table7281822432[[#This Row],[CAID]]</f>
        <v xml:space="preserve"> -  - </v>
      </c>
      <c r="N274" s="90"/>
    </row>
    <row r="275" spans="8:14" x14ac:dyDescent="0.25">
      <c r="H275" s="91"/>
      <c r="I275" s="91"/>
      <c r="J275" s="97"/>
      <c r="K275" s="79"/>
      <c r="L275" s="79"/>
      <c r="M275" s="79" t="str">
        <f>Table7281822432[[#This Row],[DBA]]&amp;" - "&amp;Table7281822432[[#This Row],[BIN]]&amp;" - "&amp;Table7281822432[[#This Row],[CAID]]</f>
        <v xml:space="preserve"> -  - </v>
      </c>
      <c r="N275" s="90"/>
    </row>
    <row r="276" spans="8:14" x14ac:dyDescent="0.25">
      <c r="H276" s="91"/>
      <c r="I276" s="91"/>
      <c r="J276" s="97"/>
      <c r="K276" s="79"/>
      <c r="L276" s="79"/>
      <c r="M276" s="79" t="str">
        <f>Table7281822432[[#This Row],[DBA]]&amp;" - "&amp;Table7281822432[[#This Row],[BIN]]&amp;" - "&amp;Table7281822432[[#This Row],[CAID]]</f>
        <v xml:space="preserve"> -  - </v>
      </c>
      <c r="N276" s="90"/>
    </row>
    <row r="277" spans="8:14" x14ac:dyDescent="0.25">
      <c r="H277" s="91"/>
      <c r="I277" s="91"/>
      <c r="J277" s="97"/>
      <c r="K277" s="79"/>
      <c r="L277" s="79"/>
      <c r="M277" s="79" t="str">
        <f>Table7281822432[[#This Row],[DBA]]&amp;" - "&amp;Table7281822432[[#This Row],[BIN]]&amp;" - "&amp;Table7281822432[[#This Row],[CAID]]</f>
        <v xml:space="preserve"> -  - </v>
      </c>
      <c r="N277" s="90"/>
    </row>
    <row r="278" spans="8:14" x14ac:dyDescent="0.25">
      <c r="H278" s="91"/>
      <c r="I278" s="91"/>
      <c r="J278" s="97"/>
      <c r="K278" s="79"/>
      <c r="L278" s="79"/>
      <c r="M278" s="79" t="str">
        <f>Table7281822432[[#This Row],[DBA]]&amp;" - "&amp;Table7281822432[[#This Row],[BIN]]&amp;" - "&amp;Table7281822432[[#This Row],[CAID]]</f>
        <v xml:space="preserve"> -  - </v>
      </c>
      <c r="N278" s="90"/>
    </row>
    <row r="279" spans="8:14" x14ac:dyDescent="0.25">
      <c r="H279" s="91"/>
      <c r="I279" s="91"/>
      <c r="J279" s="97"/>
      <c r="K279" s="79"/>
      <c r="L279" s="79"/>
      <c r="M279" s="79" t="str">
        <f>Table7281822432[[#This Row],[DBA]]&amp;" - "&amp;Table7281822432[[#This Row],[BIN]]&amp;" - "&amp;Table7281822432[[#This Row],[CAID]]</f>
        <v xml:space="preserve"> -  - </v>
      </c>
      <c r="N279" s="90"/>
    </row>
    <row r="280" spans="8:14" x14ac:dyDescent="0.25">
      <c r="H280" s="91"/>
      <c r="I280" s="91"/>
      <c r="J280" s="97"/>
      <c r="K280" s="79"/>
      <c r="L280" s="79"/>
      <c r="M280" s="79" t="str">
        <f>Table7281822432[[#This Row],[DBA]]&amp;" - "&amp;Table7281822432[[#This Row],[BIN]]&amp;" - "&amp;Table7281822432[[#This Row],[CAID]]</f>
        <v xml:space="preserve"> -  - </v>
      </c>
      <c r="N280" s="90"/>
    </row>
    <row r="281" spans="8:14" x14ac:dyDescent="0.25">
      <c r="H281" s="91"/>
      <c r="I281" s="91"/>
      <c r="J281" s="97"/>
      <c r="K281" s="79"/>
      <c r="L281" s="79"/>
      <c r="M281" s="79" t="str">
        <f>Table7281822432[[#This Row],[DBA]]&amp;" - "&amp;Table7281822432[[#This Row],[BIN]]&amp;" - "&amp;Table7281822432[[#This Row],[CAID]]</f>
        <v xml:space="preserve"> -  - </v>
      </c>
      <c r="N281" s="90"/>
    </row>
    <row r="282" spans="8:14" x14ac:dyDescent="0.25">
      <c r="H282" s="91"/>
      <c r="I282" s="91"/>
      <c r="J282" s="97"/>
      <c r="K282" s="79"/>
      <c r="L282" s="79"/>
      <c r="M282" s="79" t="str">
        <f>Table7281822432[[#This Row],[DBA]]&amp;" - "&amp;Table7281822432[[#This Row],[BIN]]&amp;" - "&amp;Table7281822432[[#This Row],[CAID]]</f>
        <v xml:space="preserve"> -  - </v>
      </c>
      <c r="N282" s="90"/>
    </row>
    <row r="283" spans="8:14" x14ac:dyDescent="0.25">
      <c r="H283" s="91"/>
      <c r="I283" s="91"/>
      <c r="J283" s="97"/>
      <c r="K283" s="79"/>
      <c r="L283" s="79"/>
      <c r="M283" s="79" t="str">
        <f>Table7281822432[[#This Row],[DBA]]&amp;" - "&amp;Table7281822432[[#This Row],[BIN]]&amp;" - "&amp;Table7281822432[[#This Row],[CAID]]</f>
        <v xml:space="preserve"> -  - </v>
      </c>
      <c r="N283" s="90"/>
    </row>
    <row r="284" spans="8:14" x14ac:dyDescent="0.25">
      <c r="H284" s="91"/>
      <c r="I284" s="91"/>
      <c r="J284" s="97"/>
      <c r="K284" s="79"/>
      <c r="L284" s="79"/>
      <c r="M284" s="79" t="str">
        <f>Table7281822432[[#This Row],[DBA]]&amp;" - "&amp;Table7281822432[[#This Row],[BIN]]&amp;" - "&amp;Table7281822432[[#This Row],[CAID]]</f>
        <v xml:space="preserve"> -  - </v>
      </c>
      <c r="N284" s="90"/>
    </row>
    <row r="285" spans="8:14" x14ac:dyDescent="0.25">
      <c r="H285" s="91"/>
      <c r="I285" s="91"/>
      <c r="J285" s="97"/>
      <c r="K285" s="79"/>
      <c r="L285" s="79"/>
      <c r="M285" s="79" t="str">
        <f>Table7281822432[[#This Row],[DBA]]&amp;" - "&amp;Table7281822432[[#This Row],[BIN]]&amp;" - "&amp;Table7281822432[[#This Row],[CAID]]</f>
        <v xml:space="preserve"> -  - </v>
      </c>
      <c r="N285" s="90"/>
    </row>
    <row r="286" spans="8:14" x14ac:dyDescent="0.25">
      <c r="H286" s="91"/>
      <c r="I286" s="91"/>
      <c r="J286" s="97"/>
      <c r="K286" s="79"/>
      <c r="L286" s="79"/>
      <c r="M286" s="79" t="str">
        <f>Table7281822432[[#This Row],[DBA]]&amp;" - "&amp;Table7281822432[[#This Row],[BIN]]&amp;" - "&amp;Table7281822432[[#This Row],[CAID]]</f>
        <v xml:space="preserve"> -  - </v>
      </c>
      <c r="N286" s="90"/>
    </row>
    <row r="287" spans="8:14" x14ac:dyDescent="0.25">
      <c r="H287" s="91"/>
      <c r="I287" s="91"/>
      <c r="J287" s="97"/>
      <c r="K287" s="79"/>
      <c r="L287" s="79"/>
      <c r="M287" s="79" t="str">
        <f>Table7281822432[[#This Row],[DBA]]&amp;" - "&amp;Table7281822432[[#This Row],[BIN]]&amp;" - "&amp;Table7281822432[[#This Row],[CAID]]</f>
        <v xml:space="preserve"> -  - </v>
      </c>
      <c r="N287" s="90"/>
    </row>
    <row r="288" spans="8:14" x14ac:dyDescent="0.25">
      <c r="H288" s="91"/>
      <c r="I288" s="91"/>
      <c r="J288" s="97"/>
      <c r="K288" s="79"/>
      <c r="L288" s="79"/>
      <c r="M288" s="79" t="str">
        <f>Table7281822432[[#This Row],[DBA]]&amp;" - "&amp;Table7281822432[[#This Row],[BIN]]&amp;" - "&amp;Table7281822432[[#This Row],[CAID]]</f>
        <v xml:space="preserve"> -  - </v>
      </c>
      <c r="N288" s="90"/>
    </row>
    <row r="289" spans="8:14" x14ac:dyDescent="0.25">
      <c r="H289" s="91"/>
      <c r="I289" s="91"/>
      <c r="J289" s="97"/>
      <c r="K289" s="79"/>
      <c r="L289" s="79"/>
      <c r="M289" s="79" t="str">
        <f>Table7281822432[[#This Row],[DBA]]&amp;" - "&amp;Table7281822432[[#This Row],[BIN]]&amp;" - "&amp;Table7281822432[[#This Row],[CAID]]</f>
        <v xml:space="preserve"> -  - </v>
      </c>
      <c r="N289" s="90"/>
    </row>
    <row r="290" spans="8:14" x14ac:dyDescent="0.25">
      <c r="H290" s="91"/>
      <c r="I290" s="91"/>
      <c r="J290" s="97"/>
      <c r="K290" s="79"/>
      <c r="L290" s="79"/>
      <c r="M290" s="79" t="str">
        <f>Table7281822432[[#This Row],[DBA]]&amp;" - "&amp;Table7281822432[[#This Row],[BIN]]&amp;" - "&amp;Table7281822432[[#This Row],[CAID]]</f>
        <v xml:space="preserve"> -  - </v>
      </c>
      <c r="N290" s="90"/>
    </row>
    <row r="291" spans="8:14" x14ac:dyDescent="0.25">
      <c r="H291" s="91"/>
      <c r="I291" s="91"/>
      <c r="J291" s="97"/>
      <c r="K291" s="79"/>
      <c r="L291" s="79"/>
      <c r="M291" s="79" t="str">
        <f>Table7281822432[[#This Row],[DBA]]&amp;" - "&amp;Table7281822432[[#This Row],[BIN]]&amp;" - "&amp;Table7281822432[[#This Row],[CAID]]</f>
        <v xml:space="preserve"> -  - </v>
      </c>
      <c r="N291" s="90"/>
    </row>
    <row r="292" spans="8:14" x14ac:dyDescent="0.25">
      <c r="H292" s="91"/>
      <c r="I292" s="91"/>
      <c r="J292" s="97"/>
      <c r="K292" s="79"/>
      <c r="L292" s="79"/>
      <c r="M292" s="79" t="str">
        <f>Table7281822432[[#This Row],[DBA]]&amp;" - "&amp;Table7281822432[[#This Row],[BIN]]&amp;" - "&amp;Table7281822432[[#This Row],[CAID]]</f>
        <v xml:space="preserve"> -  - </v>
      </c>
      <c r="N292" s="90"/>
    </row>
    <row r="293" spans="8:14" x14ac:dyDescent="0.25">
      <c r="H293" s="91"/>
      <c r="I293" s="91"/>
      <c r="J293" s="97"/>
      <c r="K293" s="79"/>
      <c r="L293" s="79"/>
      <c r="M293" s="79" t="str">
        <f>Table7281822432[[#This Row],[DBA]]&amp;" - "&amp;Table7281822432[[#This Row],[BIN]]&amp;" - "&amp;Table7281822432[[#This Row],[CAID]]</f>
        <v xml:space="preserve"> -  - </v>
      </c>
      <c r="N293" s="90"/>
    </row>
    <row r="294" spans="8:14" x14ac:dyDescent="0.25">
      <c r="H294" s="91"/>
      <c r="I294" s="91"/>
      <c r="J294" s="97"/>
      <c r="K294" s="79"/>
      <c r="L294" s="79"/>
      <c r="M294" s="79" t="str">
        <f>Table7281822432[[#This Row],[DBA]]&amp;" - "&amp;Table7281822432[[#This Row],[BIN]]&amp;" - "&amp;Table7281822432[[#This Row],[CAID]]</f>
        <v xml:space="preserve"> -  - </v>
      </c>
      <c r="N294" s="90"/>
    </row>
    <row r="295" spans="8:14" x14ac:dyDescent="0.25">
      <c r="H295" s="91"/>
      <c r="I295" s="91"/>
      <c r="J295" s="97"/>
      <c r="K295" s="79"/>
      <c r="L295" s="79"/>
      <c r="M295" s="79" t="str">
        <f>Table7281822432[[#This Row],[DBA]]&amp;" - "&amp;Table7281822432[[#This Row],[BIN]]&amp;" - "&amp;Table7281822432[[#This Row],[CAID]]</f>
        <v xml:space="preserve"> -  - </v>
      </c>
      <c r="N295" s="90"/>
    </row>
    <row r="296" spans="8:14" x14ac:dyDescent="0.25">
      <c r="H296" s="91"/>
      <c r="I296" s="91"/>
      <c r="J296" s="97"/>
      <c r="K296" s="79"/>
      <c r="L296" s="79"/>
      <c r="M296" s="79" t="str">
        <f>Table7281822432[[#This Row],[DBA]]&amp;" - "&amp;Table7281822432[[#This Row],[BIN]]&amp;" - "&amp;Table7281822432[[#This Row],[CAID]]</f>
        <v xml:space="preserve"> -  - </v>
      </c>
      <c r="N296" s="90"/>
    </row>
    <row r="297" spans="8:14" x14ac:dyDescent="0.25">
      <c r="H297" s="91"/>
      <c r="I297" s="91"/>
      <c r="J297" s="97"/>
      <c r="K297" s="79"/>
      <c r="L297" s="79"/>
      <c r="M297" s="79" t="str">
        <f>Table7281822432[[#This Row],[DBA]]&amp;" - "&amp;Table7281822432[[#This Row],[BIN]]&amp;" - "&amp;Table7281822432[[#This Row],[CAID]]</f>
        <v xml:space="preserve"> -  - </v>
      </c>
      <c r="N297" s="90"/>
    </row>
    <row r="298" spans="8:14" x14ac:dyDescent="0.25">
      <c r="H298" s="91"/>
      <c r="I298" s="91"/>
      <c r="J298" s="97"/>
      <c r="K298" s="79"/>
      <c r="L298" s="79"/>
      <c r="M298" s="79" t="str">
        <f>Table7281822432[[#This Row],[DBA]]&amp;" - "&amp;Table7281822432[[#This Row],[BIN]]&amp;" - "&amp;Table7281822432[[#This Row],[CAID]]</f>
        <v xml:space="preserve"> -  - </v>
      </c>
      <c r="N298" s="90"/>
    </row>
    <row r="299" spans="8:14" x14ac:dyDescent="0.25">
      <c r="H299" s="91"/>
      <c r="I299" s="91"/>
      <c r="J299" s="97"/>
      <c r="K299" s="79"/>
      <c r="L299" s="79"/>
      <c r="M299" s="79" t="str">
        <f>Table7281822432[[#This Row],[DBA]]&amp;" - "&amp;Table7281822432[[#This Row],[BIN]]&amp;" - "&amp;Table7281822432[[#This Row],[CAID]]</f>
        <v xml:space="preserve"> -  - </v>
      </c>
      <c r="N299" s="90"/>
    </row>
    <row r="300" spans="8:14" x14ac:dyDescent="0.25">
      <c r="H300" s="91"/>
      <c r="I300" s="91"/>
      <c r="J300" s="97"/>
      <c r="K300" s="79"/>
      <c r="L300" s="79"/>
      <c r="M300" s="79" t="str">
        <f>Table7281822432[[#This Row],[DBA]]&amp;" - "&amp;Table7281822432[[#This Row],[BIN]]&amp;" - "&amp;Table7281822432[[#This Row],[CAID]]</f>
        <v xml:space="preserve"> -  - </v>
      </c>
      <c r="N300" s="90"/>
    </row>
    <row r="301" spans="8:14" x14ac:dyDescent="0.25">
      <c r="H301" s="91"/>
      <c r="I301" s="91"/>
      <c r="J301" s="97"/>
      <c r="K301" s="79"/>
      <c r="L301" s="79"/>
      <c r="M301" s="79" t="str">
        <f>Table7281822432[[#This Row],[DBA]]&amp;" - "&amp;Table7281822432[[#This Row],[BIN]]&amp;" - "&amp;Table7281822432[[#This Row],[CAID]]</f>
        <v xml:space="preserve"> -  - </v>
      </c>
      <c r="N301" s="90"/>
    </row>
    <row r="302" spans="8:14" x14ac:dyDescent="0.25">
      <c r="H302" s="91"/>
      <c r="I302" s="91"/>
      <c r="J302" s="97"/>
      <c r="K302" s="79"/>
      <c r="L302" s="79"/>
      <c r="M302" s="79" t="str">
        <f>Table7281822432[[#This Row],[DBA]]&amp;" - "&amp;Table7281822432[[#This Row],[BIN]]&amp;" - "&amp;Table7281822432[[#This Row],[CAID]]</f>
        <v xml:space="preserve"> -  - </v>
      </c>
      <c r="N302" s="90"/>
    </row>
    <row r="303" spans="8:14" x14ac:dyDescent="0.25">
      <c r="H303" s="91"/>
      <c r="I303" s="91"/>
      <c r="J303" s="97"/>
      <c r="K303" s="79"/>
      <c r="L303" s="79"/>
      <c r="M303" s="79" t="str">
        <f>Table7281822432[[#This Row],[DBA]]&amp;" - "&amp;Table7281822432[[#This Row],[BIN]]&amp;" - "&amp;Table7281822432[[#This Row],[CAID]]</f>
        <v xml:space="preserve"> -  - </v>
      </c>
      <c r="N303" s="90"/>
    </row>
    <row r="304" spans="8:14" x14ac:dyDescent="0.25">
      <c r="H304" s="91"/>
      <c r="I304" s="91"/>
      <c r="J304" s="97"/>
      <c r="K304" s="79"/>
      <c r="L304" s="79"/>
      <c r="M304" s="79" t="str">
        <f>Table7281822432[[#This Row],[DBA]]&amp;" - "&amp;Table7281822432[[#This Row],[BIN]]&amp;" - "&amp;Table7281822432[[#This Row],[CAID]]</f>
        <v xml:space="preserve"> -  - </v>
      </c>
      <c r="N304" s="90"/>
    </row>
    <row r="305" spans="8:14" x14ac:dyDescent="0.25">
      <c r="H305" s="91"/>
      <c r="I305" s="91"/>
      <c r="J305" s="97"/>
      <c r="K305" s="79"/>
      <c r="L305" s="79"/>
      <c r="M305" s="79" t="str">
        <f>Table7281822432[[#This Row],[DBA]]&amp;" - "&amp;Table7281822432[[#This Row],[BIN]]&amp;" - "&amp;Table7281822432[[#This Row],[CAID]]</f>
        <v xml:space="preserve"> -  - </v>
      </c>
      <c r="N305" s="90"/>
    </row>
    <row r="306" spans="8:14" x14ac:dyDescent="0.25">
      <c r="H306" s="92"/>
      <c r="I306" s="92"/>
      <c r="J306" s="97"/>
      <c r="K306" s="89"/>
      <c r="L306" s="89"/>
      <c r="M306" s="89" t="str">
        <f>Table7281822432[[#This Row],[DBA]]&amp;" - "&amp;Table7281822432[[#This Row],[BIN]]&amp;" - "&amp;Table7281822432[[#This Row],[CAID]]</f>
        <v xml:space="preserve"> -  - </v>
      </c>
      <c r="N306" s="90"/>
    </row>
  </sheetData>
  <mergeCells count="5">
    <mergeCell ref="C2:D2"/>
    <mergeCell ref="C3:D3"/>
    <mergeCell ref="C4:D4"/>
    <mergeCell ref="C6:D6"/>
    <mergeCell ref="H6:O6"/>
  </mergeCells>
  <dataValidations count="11">
    <dataValidation type="list" allowBlank="1" showInputMessage="1" sqref="D15 D20 D25 D30 D35 D40 D10:D11" xr:uid="{5AA50E1C-251F-41CF-A4C0-75317E3EFA43}">
      <formula1>INDIRECT(SUBSTITUTE(B10&amp;C10," ",""))</formula1>
    </dataValidation>
    <dataValidation type="list" allowBlank="1" showInputMessage="1" showErrorMessage="1" sqref="C15 C20 C25 C30 C35 C40 C10:C11" xr:uid="{88CDCE07-9ECB-4A3B-B2DA-C27427F2FFD1}">
      <formula1>INDIRECT(B10)</formula1>
    </dataValidation>
    <dataValidation type="list" allowBlank="1" showInputMessage="1" showErrorMessage="1" sqref="B10:B11 B15 B20 B25 B30 B35 B40" xr:uid="{3F500BE7-C1A6-4CA6-942C-8EF0EC0C242D}">
      <formula1>Rule</formula1>
    </dataValidation>
    <dataValidation type="textLength" allowBlank="1" showInputMessage="1" showErrorMessage="1" promptTitle="BIN" prompt="The BIN has to be 6 characters only" sqref="H9:H306" xr:uid="{80A0AA23-AC6D-4116-90F3-AA7975FB7A27}">
      <formula1>6</formula1>
      <formula2>6</formula2>
    </dataValidation>
    <dataValidation type="textLength" allowBlank="1" showInputMessage="1" showErrorMessage="1" promptTitle="CAID" prompt="CAID cannot be greater than 15 characters" sqref="I9:I306" xr:uid="{78AD2F7F-8014-4CD1-B302-62E5F50EE591}">
      <formula1>0</formula1>
      <formula2>15</formula2>
    </dataValidation>
    <dataValidation allowBlank="1" showInputMessage="1" showErrorMessage="1" promptTitle="Do not change this cell" prompt="The function attached will create the merchant name.  This is for Verifi Only" sqref="M9:M306" xr:uid="{C0B2788D-562D-4B53-A978-D24463011009}"/>
    <dataValidation type="textLength" allowBlank="1" showInputMessage="1" showErrorMessage="1" promptTitle="DBA" prompt="DBA can only be up to 20 characters" sqref="L9:L306" xr:uid="{3CAC7321-AEE4-4490-AE1F-96BE2EA2AF2D}">
      <formula1>0</formula1>
      <formula2>20</formula2>
    </dataValidation>
    <dataValidation allowBlank="1" showInputMessage="1" showErrorMessage="1" promptTitle="Merchant Category Code" prompt="This is the Merchant Category Code associated with the BIN/CAID" sqref="K9:K306" xr:uid="{26FD2B1A-1317-40EF-B106-1BDEF412CB76}"/>
    <dataValidation allowBlank="1" showInputMessage="1" showErrorMessage="1" promptTitle="Merchant ID" prompt="This cell contains the Merchant ID for the Merchant account.  This will be populated by Verifi" sqref="N9:N306" xr:uid="{E47E4E05-B1E1-4775-8447-3D0AE4E1D7E7}"/>
    <dataValidation allowBlank="1" showInputMessage="1" showErrorMessage="1" promptTitle="ARN (Acquirer Reference Number)" prompt="ARN (Acquirer Reference Number)" sqref="J9:J306" xr:uid="{61672027-A565-4379-8005-FED063F541B9}"/>
    <dataValidation allowBlank="1" showInputMessage="1" showErrorMessage="1" promptTitle="Rule Name" prompt="Rule Name is the rule identifier created by the seller and made available in reporting for insight into why an RDR case_x000a_was accepted. _x000a__x000a_Keep rule names short, explicit, and clear enough to be referenced in RDR communications. _x000a__x000a_" sqref="C6:D6" xr:uid="{E8EE6596-8708-41FA-B1BB-47B4648CEBE3}"/>
  </dataValidations>
  <pageMargins left="0.75" right="0.75" top="0.75" bottom="0.75" header="0.5" footer="0.5"/>
  <pageSetup orientation="portrait" r:id="rId1"/>
  <headerFooter alignWithMargins="0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B7214-A27E-4DAF-91E0-92C7BF0243AF}">
  <dimension ref="B1:O306"/>
  <sheetViews>
    <sheetView showGridLines="0" workbookViewId="0">
      <selection activeCell="C2" sqref="C2:D2"/>
    </sheetView>
  </sheetViews>
  <sheetFormatPr defaultColWidth="8.77734375" defaultRowHeight="13.2" x14ac:dyDescent="0.25"/>
  <cols>
    <col min="1" max="1" width="2.21875" style="3" customWidth="1"/>
    <col min="2" max="2" width="24.77734375" style="3" bestFit="1" customWidth="1"/>
    <col min="3" max="3" width="22.77734375" style="3" customWidth="1"/>
    <col min="4" max="4" width="41.21875" style="3" bestFit="1" customWidth="1"/>
    <col min="5" max="5" width="13.21875" style="3" customWidth="1"/>
    <col min="6" max="6" width="8.77734375" style="3"/>
    <col min="7" max="7" width="14.44140625" style="3" customWidth="1"/>
    <col min="8" max="8" width="10.21875" style="3" customWidth="1"/>
    <col min="9" max="10" width="25.21875" style="3" customWidth="1"/>
    <col min="11" max="11" width="12.44140625" style="3" bestFit="1" customWidth="1"/>
    <col min="12" max="12" width="12.44140625" style="3" customWidth="1"/>
    <col min="13" max="13" width="34" style="3" bestFit="1" customWidth="1"/>
    <col min="14" max="14" width="28" style="3" customWidth="1"/>
    <col min="15" max="15" width="14.21875" style="3" bestFit="1" customWidth="1"/>
    <col min="16" max="16384" width="8.77734375" style="3"/>
  </cols>
  <sheetData>
    <row r="1" spans="2:15" ht="13.8" thickBot="1" x14ac:dyDescent="0.3"/>
    <row r="2" spans="2:15" ht="13.8" thickBot="1" x14ac:dyDescent="0.3">
      <c r="B2" s="100" t="s">
        <v>345</v>
      </c>
      <c r="C2" s="116" t="s">
        <v>347</v>
      </c>
      <c r="D2" s="117"/>
      <c r="I2" s="95"/>
      <c r="J2" s="95"/>
    </row>
    <row r="3" spans="2:15" ht="13.8" thickBot="1" x14ac:dyDescent="0.3">
      <c r="B3" s="101" t="s">
        <v>344</v>
      </c>
      <c r="C3" s="116">
        <v>11600</v>
      </c>
      <c r="D3" s="117"/>
      <c r="I3" s="95"/>
      <c r="J3" s="95"/>
    </row>
    <row r="4" spans="2:15" ht="13.8" thickBot="1" x14ac:dyDescent="0.3">
      <c r="B4" s="100" t="s">
        <v>332</v>
      </c>
      <c r="C4" s="112"/>
      <c r="D4" s="112"/>
      <c r="I4" s="95"/>
      <c r="J4" s="95"/>
    </row>
    <row r="5" spans="2:15" ht="13.8" thickBot="1" x14ac:dyDescent="0.3">
      <c r="B5" s="101" t="s">
        <v>343</v>
      </c>
      <c r="C5" s="102"/>
      <c r="D5" s="103"/>
      <c r="I5" s="95"/>
      <c r="J5" s="95"/>
    </row>
    <row r="6" spans="2:15" ht="13.8" thickBot="1" x14ac:dyDescent="0.3">
      <c r="B6" s="100" t="s">
        <v>334</v>
      </c>
      <c r="C6" s="112"/>
      <c r="D6" s="112"/>
      <c r="H6" s="113" t="s">
        <v>330</v>
      </c>
      <c r="I6" s="114"/>
      <c r="J6" s="114"/>
      <c r="K6" s="114"/>
      <c r="L6" s="114"/>
      <c r="M6" s="114"/>
      <c r="N6" s="114"/>
      <c r="O6" s="115"/>
    </row>
    <row r="7" spans="2:15" x14ac:dyDescent="0.25">
      <c r="B7" s="87"/>
      <c r="C7" s="87"/>
    </row>
    <row r="8" spans="2:15" ht="13.8" thickBot="1" x14ac:dyDescent="0.3">
      <c r="C8" s="13"/>
      <c r="H8" s="13" t="s">
        <v>84</v>
      </c>
      <c r="I8" s="13" t="s">
        <v>85</v>
      </c>
      <c r="J8" s="88" t="s">
        <v>342</v>
      </c>
      <c r="K8" s="88" t="s">
        <v>339</v>
      </c>
      <c r="L8" s="88" t="s">
        <v>333</v>
      </c>
      <c r="M8" s="93" t="s">
        <v>340</v>
      </c>
      <c r="N8" s="94" t="s">
        <v>341</v>
      </c>
    </row>
    <row r="9" spans="2:15" ht="18.75" customHeight="1" thickBot="1" x14ac:dyDescent="0.3">
      <c r="B9" s="80" t="s">
        <v>329</v>
      </c>
      <c r="C9" s="81" t="s">
        <v>64</v>
      </c>
      <c r="D9" s="82" t="s">
        <v>63</v>
      </c>
      <c r="H9" s="96"/>
      <c r="I9" s="96"/>
      <c r="J9" s="98"/>
      <c r="K9" s="99"/>
      <c r="L9" s="99"/>
      <c r="M9" s="90" t="str">
        <f>Table728182243240[[#This Row],[DBA]]&amp;" - "&amp;Table728182243240[[#This Row],[BIN]]&amp;" - "&amp;Table728182243240[[#This Row],[CAID]]</f>
        <v xml:space="preserve"> -  - </v>
      </c>
      <c r="N9" s="90"/>
    </row>
    <row r="10" spans="2:15" ht="13.8" thickBot="1" x14ac:dyDescent="0.3">
      <c r="B10" s="83"/>
      <c r="C10" s="84"/>
      <c r="D10" s="83"/>
      <c r="H10" s="91"/>
      <c r="I10" s="91"/>
      <c r="J10" s="97"/>
      <c r="K10" s="79"/>
      <c r="L10" s="79"/>
      <c r="M10" s="79" t="str">
        <f>Table728182243240[[#This Row],[DBA]]&amp;" - "&amp;Table728182243240[[#This Row],[BIN]]&amp;" - "&amp;Table728182243240[[#This Row],[CAID]]</f>
        <v xml:space="preserve"> -  - </v>
      </c>
      <c r="N10" s="90"/>
    </row>
    <row r="11" spans="2:15" x14ac:dyDescent="0.25">
      <c r="B11" s="85"/>
      <c r="C11" s="86"/>
      <c r="D11" s="85"/>
      <c r="H11" s="91"/>
      <c r="I11" s="91"/>
      <c r="J11" s="97"/>
      <c r="K11" s="79"/>
      <c r="L11" s="79"/>
      <c r="M11" s="79" t="str">
        <f>Table728182243240[[#This Row],[DBA]]&amp;" - "&amp;Table728182243240[[#This Row],[BIN]]&amp;" - "&amp;Table728182243240[[#This Row],[CAID]]</f>
        <v xml:space="preserve"> -  - </v>
      </c>
      <c r="N11" s="90"/>
    </row>
    <row r="12" spans="2:15" x14ac:dyDescent="0.25">
      <c r="C12" s="30" t="s">
        <v>83</v>
      </c>
      <c r="H12" s="91"/>
      <c r="I12" s="91"/>
      <c r="J12" s="97"/>
      <c r="K12" s="79"/>
      <c r="L12" s="79"/>
      <c r="M12" s="79" t="str">
        <f>Table728182243240[[#This Row],[DBA]]&amp;" - "&amp;Table728182243240[[#This Row],[BIN]]&amp;" - "&amp;Table728182243240[[#This Row],[CAID]]</f>
        <v xml:space="preserve"> -  - </v>
      </c>
      <c r="N12" s="90"/>
    </row>
    <row r="13" spans="2:15" ht="13.8" thickBot="1" x14ac:dyDescent="0.3">
      <c r="C13" s="29"/>
      <c r="H13" s="91"/>
      <c r="I13" s="91"/>
      <c r="J13" s="97"/>
      <c r="K13" s="79"/>
      <c r="L13" s="79"/>
      <c r="M13" s="79" t="str">
        <f>Table728182243240[[#This Row],[DBA]]&amp;" - "&amp;Table728182243240[[#This Row],[BIN]]&amp;" - "&amp;Table728182243240[[#This Row],[CAID]]</f>
        <v xml:space="preserve"> -  - </v>
      </c>
      <c r="N13" s="90"/>
    </row>
    <row r="14" spans="2:15" ht="13.8" thickBot="1" x14ac:dyDescent="0.3">
      <c r="B14" s="80" t="s">
        <v>329</v>
      </c>
      <c r="C14" s="81" t="s">
        <v>64</v>
      </c>
      <c r="D14" s="82" t="s">
        <v>63</v>
      </c>
      <c r="H14" s="91"/>
      <c r="I14" s="91"/>
      <c r="J14" s="97"/>
      <c r="K14" s="79"/>
      <c r="L14" s="79"/>
      <c r="M14" s="79" t="str">
        <f>Table728182243240[[#This Row],[DBA]]&amp;" - "&amp;Table728182243240[[#This Row],[BIN]]&amp;" - "&amp;Table728182243240[[#This Row],[CAID]]</f>
        <v xml:space="preserve"> -  - </v>
      </c>
      <c r="N14" s="90"/>
    </row>
    <row r="15" spans="2:15" ht="13.8" thickBot="1" x14ac:dyDescent="0.3">
      <c r="B15" s="83"/>
      <c r="C15" s="84"/>
      <c r="D15" s="83"/>
      <c r="H15" s="91"/>
      <c r="I15" s="91"/>
      <c r="J15" s="97"/>
      <c r="K15" s="79"/>
      <c r="L15" s="79"/>
      <c r="M15" s="79" t="str">
        <f>Table728182243240[[#This Row],[DBA]]&amp;" - "&amp;Table728182243240[[#This Row],[BIN]]&amp;" - "&amp;Table728182243240[[#This Row],[CAID]]</f>
        <v xml:space="preserve"> -  - </v>
      </c>
      <c r="N15" s="90"/>
    </row>
    <row r="16" spans="2:15" x14ac:dyDescent="0.25">
      <c r="H16" s="91"/>
      <c r="I16" s="91"/>
      <c r="J16" s="97"/>
      <c r="K16" s="79"/>
      <c r="L16" s="79"/>
      <c r="M16" s="79" t="str">
        <f>Table728182243240[[#This Row],[DBA]]&amp;" - "&amp;Table728182243240[[#This Row],[BIN]]&amp;" - "&amp;Table728182243240[[#This Row],[CAID]]</f>
        <v xml:space="preserve"> -  - </v>
      </c>
      <c r="N16" s="90"/>
    </row>
    <row r="17" spans="2:14" x14ac:dyDescent="0.25">
      <c r="C17" s="30" t="s">
        <v>83</v>
      </c>
      <c r="H17" s="91"/>
      <c r="I17" s="91"/>
      <c r="J17" s="97"/>
      <c r="K17" s="79"/>
      <c r="L17" s="79"/>
      <c r="M17" s="79" t="str">
        <f>Table728182243240[[#This Row],[DBA]]&amp;" - "&amp;Table728182243240[[#This Row],[BIN]]&amp;" - "&amp;Table728182243240[[#This Row],[CAID]]</f>
        <v xml:space="preserve"> -  - </v>
      </c>
      <c r="N17" s="90"/>
    </row>
    <row r="18" spans="2:14" ht="13.8" thickBot="1" x14ac:dyDescent="0.3">
      <c r="C18" s="29"/>
      <c r="H18" s="91"/>
      <c r="I18" s="91"/>
      <c r="J18" s="97"/>
      <c r="K18" s="79"/>
      <c r="L18" s="79"/>
      <c r="M18" s="79" t="str">
        <f>Table728182243240[[#This Row],[DBA]]&amp;" - "&amp;Table728182243240[[#This Row],[BIN]]&amp;" - "&amp;Table728182243240[[#This Row],[CAID]]</f>
        <v xml:space="preserve"> -  - </v>
      </c>
      <c r="N18" s="90"/>
    </row>
    <row r="19" spans="2:14" ht="13.8" thickBot="1" x14ac:dyDescent="0.3">
      <c r="B19" s="80" t="s">
        <v>329</v>
      </c>
      <c r="C19" s="81" t="s">
        <v>64</v>
      </c>
      <c r="D19" s="82" t="s">
        <v>63</v>
      </c>
      <c r="H19" s="91"/>
      <c r="I19" s="91"/>
      <c r="J19" s="97"/>
      <c r="K19" s="79"/>
      <c r="L19" s="79"/>
      <c r="M19" s="79" t="str">
        <f>Table728182243240[[#This Row],[DBA]]&amp;" - "&amp;Table728182243240[[#This Row],[BIN]]&amp;" - "&amp;Table728182243240[[#This Row],[CAID]]</f>
        <v xml:space="preserve"> -  - </v>
      </c>
      <c r="N19" s="90"/>
    </row>
    <row r="20" spans="2:14" ht="13.8" thickBot="1" x14ac:dyDescent="0.3">
      <c r="B20" s="83"/>
      <c r="C20" s="84"/>
      <c r="D20" s="83"/>
      <c r="H20" s="91"/>
      <c r="I20" s="91"/>
      <c r="J20" s="97"/>
      <c r="K20" s="79"/>
      <c r="L20" s="79"/>
      <c r="M20" s="79" t="str">
        <f>Table728182243240[[#This Row],[DBA]]&amp;" - "&amp;Table728182243240[[#This Row],[BIN]]&amp;" - "&amp;Table728182243240[[#This Row],[CAID]]</f>
        <v xml:space="preserve"> -  - </v>
      </c>
      <c r="N20" s="90"/>
    </row>
    <row r="21" spans="2:14" x14ac:dyDescent="0.25">
      <c r="H21" s="91"/>
      <c r="I21" s="91"/>
      <c r="J21" s="97"/>
      <c r="K21" s="79"/>
      <c r="L21" s="79"/>
      <c r="M21" s="79" t="str">
        <f>Table728182243240[[#This Row],[DBA]]&amp;" - "&amp;Table728182243240[[#This Row],[BIN]]&amp;" - "&amp;Table728182243240[[#This Row],[CAID]]</f>
        <v xml:space="preserve"> -  - </v>
      </c>
      <c r="N21" s="90"/>
    </row>
    <row r="22" spans="2:14" x14ac:dyDescent="0.25">
      <c r="C22" s="30" t="s">
        <v>83</v>
      </c>
      <c r="H22" s="91"/>
      <c r="I22" s="91"/>
      <c r="J22" s="97"/>
      <c r="K22" s="79"/>
      <c r="L22" s="79"/>
      <c r="M22" s="79" t="str">
        <f>Table728182243240[[#This Row],[DBA]]&amp;" - "&amp;Table728182243240[[#This Row],[BIN]]&amp;" - "&amp;Table728182243240[[#This Row],[CAID]]</f>
        <v xml:space="preserve"> -  - </v>
      </c>
      <c r="N22" s="90"/>
    </row>
    <row r="23" spans="2:14" ht="13.8" thickBot="1" x14ac:dyDescent="0.3">
      <c r="C23" s="29"/>
      <c r="H23" s="91"/>
      <c r="I23" s="91"/>
      <c r="J23" s="97"/>
      <c r="K23" s="79"/>
      <c r="L23" s="79"/>
      <c r="M23" s="79" t="str">
        <f>Table728182243240[[#This Row],[DBA]]&amp;" - "&amp;Table728182243240[[#This Row],[BIN]]&amp;" - "&amp;Table728182243240[[#This Row],[CAID]]</f>
        <v xml:space="preserve"> -  - </v>
      </c>
      <c r="N23" s="90"/>
    </row>
    <row r="24" spans="2:14" ht="13.8" thickBot="1" x14ac:dyDescent="0.3">
      <c r="B24" s="80" t="s">
        <v>329</v>
      </c>
      <c r="C24" s="81" t="s">
        <v>64</v>
      </c>
      <c r="D24" s="82" t="s">
        <v>63</v>
      </c>
      <c r="H24" s="91"/>
      <c r="I24" s="91"/>
      <c r="J24" s="97"/>
      <c r="K24" s="79"/>
      <c r="L24" s="79"/>
      <c r="M24" s="79" t="str">
        <f>Table728182243240[[#This Row],[DBA]]&amp;" - "&amp;Table728182243240[[#This Row],[BIN]]&amp;" - "&amp;Table728182243240[[#This Row],[CAID]]</f>
        <v xml:space="preserve"> -  - </v>
      </c>
      <c r="N24" s="90"/>
    </row>
    <row r="25" spans="2:14" ht="13.8" thickBot="1" x14ac:dyDescent="0.3">
      <c r="B25" s="83"/>
      <c r="C25" s="84"/>
      <c r="D25" s="83"/>
      <c r="H25" s="91"/>
      <c r="I25" s="91"/>
      <c r="J25" s="97"/>
      <c r="K25" s="79"/>
      <c r="L25" s="79"/>
      <c r="M25" s="79" t="str">
        <f>Table728182243240[[#This Row],[DBA]]&amp;" - "&amp;Table728182243240[[#This Row],[BIN]]&amp;" - "&amp;Table728182243240[[#This Row],[CAID]]</f>
        <v xml:space="preserve"> -  - </v>
      </c>
      <c r="N25" s="90"/>
    </row>
    <row r="26" spans="2:14" x14ac:dyDescent="0.25">
      <c r="H26" s="91"/>
      <c r="I26" s="91"/>
      <c r="J26" s="97"/>
      <c r="K26" s="79"/>
      <c r="L26" s="79"/>
      <c r="M26" s="79" t="str">
        <f>Table728182243240[[#This Row],[DBA]]&amp;" - "&amp;Table728182243240[[#This Row],[BIN]]&amp;" - "&amp;Table728182243240[[#This Row],[CAID]]</f>
        <v xml:space="preserve"> -  - </v>
      </c>
      <c r="N26" s="90"/>
    </row>
    <row r="27" spans="2:14" x14ac:dyDescent="0.25">
      <c r="C27" s="30" t="s">
        <v>83</v>
      </c>
      <c r="H27" s="91"/>
      <c r="I27" s="91"/>
      <c r="J27" s="97"/>
      <c r="K27" s="79"/>
      <c r="L27" s="79"/>
      <c r="M27" s="79" t="str">
        <f>Table728182243240[[#This Row],[DBA]]&amp;" - "&amp;Table728182243240[[#This Row],[BIN]]&amp;" - "&amp;Table728182243240[[#This Row],[CAID]]</f>
        <v xml:space="preserve"> -  - </v>
      </c>
      <c r="N27" s="90"/>
    </row>
    <row r="28" spans="2:14" ht="13.8" thickBot="1" x14ac:dyDescent="0.3">
      <c r="C28" s="29"/>
      <c r="H28" s="91"/>
      <c r="I28" s="91"/>
      <c r="J28" s="97"/>
      <c r="K28" s="79"/>
      <c r="L28" s="79"/>
      <c r="M28" s="79" t="str">
        <f>Table728182243240[[#This Row],[DBA]]&amp;" - "&amp;Table728182243240[[#This Row],[BIN]]&amp;" - "&amp;Table728182243240[[#This Row],[CAID]]</f>
        <v xml:space="preserve"> -  - </v>
      </c>
      <c r="N28" s="90"/>
    </row>
    <row r="29" spans="2:14" ht="13.8" thickBot="1" x14ac:dyDescent="0.3">
      <c r="B29" s="80" t="s">
        <v>329</v>
      </c>
      <c r="C29" s="81" t="s">
        <v>64</v>
      </c>
      <c r="D29" s="82" t="s">
        <v>63</v>
      </c>
      <c r="H29" s="91"/>
      <c r="I29" s="91"/>
      <c r="J29" s="97"/>
      <c r="K29" s="79"/>
      <c r="L29" s="79"/>
      <c r="M29" s="79" t="str">
        <f>Table728182243240[[#This Row],[DBA]]&amp;" - "&amp;Table728182243240[[#This Row],[BIN]]&amp;" - "&amp;Table728182243240[[#This Row],[CAID]]</f>
        <v xml:space="preserve"> -  - </v>
      </c>
      <c r="N29" s="90"/>
    </row>
    <row r="30" spans="2:14" ht="13.8" thickBot="1" x14ac:dyDescent="0.3">
      <c r="B30" s="83"/>
      <c r="C30" s="84"/>
      <c r="D30" s="83"/>
      <c r="H30" s="91"/>
      <c r="I30" s="91"/>
      <c r="J30" s="97"/>
      <c r="K30" s="79"/>
      <c r="L30" s="79"/>
      <c r="M30" s="79" t="str">
        <f>Table728182243240[[#This Row],[DBA]]&amp;" - "&amp;Table728182243240[[#This Row],[BIN]]&amp;" - "&amp;Table728182243240[[#This Row],[CAID]]</f>
        <v xml:space="preserve"> -  - </v>
      </c>
      <c r="N30" s="90"/>
    </row>
    <row r="31" spans="2:14" x14ac:dyDescent="0.25">
      <c r="H31" s="91"/>
      <c r="I31" s="91"/>
      <c r="J31" s="97"/>
      <c r="K31" s="79"/>
      <c r="L31" s="79"/>
      <c r="M31" s="79" t="str">
        <f>Table728182243240[[#This Row],[DBA]]&amp;" - "&amp;Table728182243240[[#This Row],[BIN]]&amp;" - "&amp;Table728182243240[[#This Row],[CAID]]</f>
        <v xml:space="preserve"> -  - </v>
      </c>
      <c r="N31" s="90"/>
    </row>
    <row r="32" spans="2:14" x14ac:dyDescent="0.25">
      <c r="C32" s="30" t="s">
        <v>83</v>
      </c>
      <c r="H32" s="91"/>
      <c r="I32" s="91"/>
      <c r="J32" s="97"/>
      <c r="K32" s="79"/>
      <c r="L32" s="79"/>
      <c r="M32" s="79" t="str">
        <f>Table728182243240[[#This Row],[DBA]]&amp;" - "&amp;Table728182243240[[#This Row],[BIN]]&amp;" - "&amp;Table728182243240[[#This Row],[CAID]]</f>
        <v xml:space="preserve"> -  - </v>
      </c>
      <c r="N32" s="90"/>
    </row>
    <row r="33" spans="2:14" ht="13.8" thickBot="1" x14ac:dyDescent="0.3">
      <c r="C33" s="29"/>
      <c r="H33" s="91"/>
      <c r="I33" s="91"/>
      <c r="J33" s="97"/>
      <c r="K33" s="79"/>
      <c r="L33" s="79"/>
      <c r="M33" s="79" t="str">
        <f>Table728182243240[[#This Row],[DBA]]&amp;" - "&amp;Table728182243240[[#This Row],[BIN]]&amp;" - "&amp;Table728182243240[[#This Row],[CAID]]</f>
        <v xml:space="preserve"> -  - </v>
      </c>
      <c r="N33" s="90"/>
    </row>
    <row r="34" spans="2:14" ht="13.8" thickBot="1" x14ac:dyDescent="0.3">
      <c r="B34" s="80" t="s">
        <v>329</v>
      </c>
      <c r="C34" s="81" t="s">
        <v>64</v>
      </c>
      <c r="D34" s="82" t="s">
        <v>63</v>
      </c>
      <c r="H34" s="91"/>
      <c r="I34" s="91"/>
      <c r="J34" s="97"/>
      <c r="K34" s="79"/>
      <c r="L34" s="79"/>
      <c r="M34" s="79" t="str">
        <f>Table728182243240[[#This Row],[DBA]]&amp;" - "&amp;Table728182243240[[#This Row],[BIN]]&amp;" - "&amp;Table728182243240[[#This Row],[CAID]]</f>
        <v xml:space="preserve"> -  - </v>
      </c>
      <c r="N34" s="90"/>
    </row>
    <row r="35" spans="2:14" ht="13.8" thickBot="1" x14ac:dyDescent="0.3">
      <c r="B35" s="83"/>
      <c r="C35" s="84"/>
      <c r="D35" s="83"/>
      <c r="H35" s="91"/>
      <c r="I35" s="91"/>
      <c r="J35" s="97"/>
      <c r="K35" s="79"/>
      <c r="L35" s="79"/>
      <c r="M35" s="79" t="str">
        <f>Table728182243240[[#This Row],[DBA]]&amp;" - "&amp;Table728182243240[[#This Row],[BIN]]&amp;" - "&amp;Table728182243240[[#This Row],[CAID]]</f>
        <v xml:space="preserve"> -  - </v>
      </c>
      <c r="N35" s="90"/>
    </row>
    <row r="36" spans="2:14" x14ac:dyDescent="0.25">
      <c r="H36" s="91"/>
      <c r="I36" s="91"/>
      <c r="J36" s="97"/>
      <c r="K36" s="79"/>
      <c r="L36" s="79"/>
      <c r="M36" s="79" t="str">
        <f>Table728182243240[[#This Row],[DBA]]&amp;" - "&amp;Table728182243240[[#This Row],[BIN]]&amp;" - "&amp;Table728182243240[[#This Row],[CAID]]</f>
        <v xml:space="preserve"> -  - </v>
      </c>
      <c r="N36" s="90"/>
    </row>
    <row r="37" spans="2:14" x14ac:dyDescent="0.25">
      <c r="C37" s="30" t="s">
        <v>83</v>
      </c>
      <c r="H37" s="91"/>
      <c r="I37" s="91"/>
      <c r="J37" s="97"/>
      <c r="K37" s="79"/>
      <c r="L37" s="79"/>
      <c r="M37" s="79" t="str">
        <f>Table728182243240[[#This Row],[DBA]]&amp;" - "&amp;Table728182243240[[#This Row],[BIN]]&amp;" - "&amp;Table728182243240[[#This Row],[CAID]]</f>
        <v xml:space="preserve"> -  - </v>
      </c>
      <c r="N37" s="90"/>
    </row>
    <row r="38" spans="2:14" ht="13.8" thickBot="1" x14ac:dyDescent="0.3">
      <c r="C38" s="29"/>
      <c r="H38" s="91"/>
      <c r="I38" s="91"/>
      <c r="J38" s="97"/>
      <c r="K38" s="79"/>
      <c r="L38" s="79"/>
      <c r="M38" s="79" t="str">
        <f>Table728182243240[[#This Row],[DBA]]&amp;" - "&amp;Table728182243240[[#This Row],[BIN]]&amp;" - "&amp;Table728182243240[[#This Row],[CAID]]</f>
        <v xml:space="preserve"> -  - </v>
      </c>
      <c r="N38" s="90"/>
    </row>
    <row r="39" spans="2:14" ht="13.8" thickBot="1" x14ac:dyDescent="0.3">
      <c r="B39" s="80" t="s">
        <v>329</v>
      </c>
      <c r="C39" s="81" t="s">
        <v>64</v>
      </c>
      <c r="D39" s="82" t="s">
        <v>63</v>
      </c>
      <c r="H39" s="91"/>
      <c r="I39" s="91"/>
      <c r="J39" s="97"/>
      <c r="K39" s="79"/>
      <c r="L39" s="79"/>
      <c r="M39" s="79" t="str">
        <f>Table728182243240[[#This Row],[DBA]]&amp;" - "&amp;Table728182243240[[#This Row],[BIN]]&amp;" - "&amp;Table728182243240[[#This Row],[CAID]]</f>
        <v xml:space="preserve"> -  - </v>
      </c>
      <c r="N39" s="90"/>
    </row>
    <row r="40" spans="2:14" ht="13.8" thickBot="1" x14ac:dyDescent="0.3">
      <c r="B40" s="83"/>
      <c r="C40" s="84"/>
      <c r="D40" s="83"/>
      <c r="H40" s="91"/>
      <c r="I40" s="91"/>
      <c r="J40" s="97"/>
      <c r="K40" s="89"/>
      <c r="L40" s="89"/>
      <c r="M40" s="79" t="str">
        <f>Table728182243240[[#This Row],[DBA]]&amp;" - "&amp;Table728182243240[[#This Row],[BIN]]&amp;" - "&amp;Table728182243240[[#This Row],[CAID]]</f>
        <v xml:space="preserve"> -  - </v>
      </c>
      <c r="N40" s="90"/>
    </row>
    <row r="41" spans="2:14" x14ac:dyDescent="0.25">
      <c r="H41" s="91"/>
      <c r="I41" s="91"/>
      <c r="J41" s="97"/>
      <c r="K41" s="79"/>
      <c r="L41" s="79"/>
      <c r="M41" s="79" t="str">
        <f>Table728182243240[[#This Row],[DBA]]&amp;" - "&amp;Table728182243240[[#This Row],[BIN]]&amp;" - "&amp;Table728182243240[[#This Row],[CAID]]</f>
        <v xml:space="preserve"> -  - </v>
      </c>
      <c r="N41" s="90"/>
    </row>
    <row r="42" spans="2:14" x14ac:dyDescent="0.25">
      <c r="H42" s="91"/>
      <c r="I42" s="91"/>
      <c r="J42" s="97"/>
      <c r="K42" s="79"/>
      <c r="L42" s="79"/>
      <c r="M42" s="79" t="str">
        <f>Table728182243240[[#This Row],[DBA]]&amp;" - "&amp;Table728182243240[[#This Row],[BIN]]&amp;" - "&amp;Table728182243240[[#This Row],[CAID]]</f>
        <v xml:space="preserve"> -  - </v>
      </c>
      <c r="N42" s="90"/>
    </row>
    <row r="43" spans="2:14" x14ac:dyDescent="0.25">
      <c r="H43" s="91"/>
      <c r="I43" s="91"/>
      <c r="J43" s="97"/>
      <c r="K43" s="79"/>
      <c r="L43" s="79"/>
      <c r="M43" s="79" t="str">
        <f>Table728182243240[[#This Row],[DBA]]&amp;" - "&amp;Table728182243240[[#This Row],[BIN]]&amp;" - "&amp;Table728182243240[[#This Row],[CAID]]</f>
        <v xml:space="preserve"> -  - </v>
      </c>
      <c r="N43" s="90"/>
    </row>
    <row r="44" spans="2:14" x14ac:dyDescent="0.25">
      <c r="H44" s="91"/>
      <c r="I44" s="91"/>
      <c r="J44" s="97"/>
      <c r="K44" s="79"/>
      <c r="L44" s="79"/>
      <c r="M44" s="79" t="str">
        <f>Table728182243240[[#This Row],[DBA]]&amp;" - "&amp;Table728182243240[[#This Row],[BIN]]&amp;" - "&amp;Table728182243240[[#This Row],[CAID]]</f>
        <v xml:space="preserve"> -  - </v>
      </c>
      <c r="N44" s="90"/>
    </row>
    <row r="45" spans="2:14" x14ac:dyDescent="0.25">
      <c r="H45" s="91"/>
      <c r="I45" s="91"/>
      <c r="J45" s="97"/>
      <c r="K45" s="79"/>
      <c r="L45" s="79"/>
      <c r="M45" s="79" t="str">
        <f>Table728182243240[[#This Row],[DBA]]&amp;" - "&amp;Table728182243240[[#This Row],[BIN]]&amp;" - "&amp;Table728182243240[[#This Row],[CAID]]</f>
        <v xml:space="preserve"> -  - </v>
      </c>
      <c r="N45" s="90"/>
    </row>
    <row r="46" spans="2:14" x14ac:dyDescent="0.25">
      <c r="H46" s="91"/>
      <c r="I46" s="91"/>
      <c r="J46" s="97"/>
      <c r="K46" s="79"/>
      <c r="L46" s="79"/>
      <c r="M46" s="79" t="str">
        <f>Table728182243240[[#This Row],[DBA]]&amp;" - "&amp;Table728182243240[[#This Row],[BIN]]&amp;" - "&amp;Table728182243240[[#This Row],[CAID]]</f>
        <v xml:space="preserve"> -  - </v>
      </c>
      <c r="N46" s="90"/>
    </row>
    <row r="47" spans="2:14" x14ac:dyDescent="0.25">
      <c r="H47" s="91"/>
      <c r="I47" s="91"/>
      <c r="J47" s="97"/>
      <c r="K47" s="79"/>
      <c r="L47" s="79"/>
      <c r="M47" s="79" t="str">
        <f>Table728182243240[[#This Row],[DBA]]&amp;" - "&amp;Table728182243240[[#This Row],[BIN]]&amp;" - "&amp;Table728182243240[[#This Row],[CAID]]</f>
        <v xml:space="preserve"> -  - </v>
      </c>
      <c r="N47" s="90"/>
    </row>
    <row r="48" spans="2:14" x14ac:dyDescent="0.25">
      <c r="H48" s="91"/>
      <c r="I48" s="91"/>
      <c r="J48" s="97"/>
      <c r="K48" s="79"/>
      <c r="L48" s="79"/>
      <c r="M48" s="79" t="str">
        <f>Table728182243240[[#This Row],[DBA]]&amp;" - "&amp;Table728182243240[[#This Row],[BIN]]&amp;" - "&amp;Table728182243240[[#This Row],[CAID]]</f>
        <v xml:space="preserve"> -  - </v>
      </c>
      <c r="N48" s="90"/>
    </row>
    <row r="49" spans="8:14" x14ac:dyDescent="0.25">
      <c r="H49" s="91"/>
      <c r="I49" s="91"/>
      <c r="J49" s="97"/>
      <c r="K49" s="79"/>
      <c r="L49" s="79"/>
      <c r="M49" s="79" t="str">
        <f>Table728182243240[[#This Row],[DBA]]&amp;" - "&amp;Table728182243240[[#This Row],[BIN]]&amp;" - "&amp;Table728182243240[[#This Row],[CAID]]</f>
        <v xml:space="preserve"> -  - </v>
      </c>
      <c r="N49" s="90"/>
    </row>
    <row r="50" spans="8:14" x14ac:dyDescent="0.25">
      <c r="H50" s="91"/>
      <c r="I50" s="91"/>
      <c r="J50" s="97"/>
      <c r="K50" s="79"/>
      <c r="L50" s="79"/>
      <c r="M50" s="79" t="str">
        <f>Table728182243240[[#This Row],[DBA]]&amp;" - "&amp;Table728182243240[[#This Row],[BIN]]&amp;" - "&amp;Table728182243240[[#This Row],[CAID]]</f>
        <v xml:space="preserve"> -  - </v>
      </c>
      <c r="N50" s="90"/>
    </row>
    <row r="51" spans="8:14" x14ac:dyDescent="0.25">
      <c r="H51" s="91"/>
      <c r="I51" s="91"/>
      <c r="J51" s="97"/>
      <c r="K51" s="79"/>
      <c r="L51" s="79"/>
      <c r="M51" s="79" t="str">
        <f>Table728182243240[[#This Row],[DBA]]&amp;" - "&amp;Table728182243240[[#This Row],[BIN]]&amp;" - "&amp;Table728182243240[[#This Row],[CAID]]</f>
        <v xml:space="preserve"> -  - </v>
      </c>
      <c r="N51" s="90"/>
    </row>
    <row r="52" spans="8:14" x14ac:dyDescent="0.25">
      <c r="H52" s="91"/>
      <c r="I52" s="91"/>
      <c r="J52" s="97"/>
      <c r="K52" s="79"/>
      <c r="L52" s="79"/>
      <c r="M52" s="79" t="str">
        <f>Table728182243240[[#This Row],[DBA]]&amp;" - "&amp;Table728182243240[[#This Row],[BIN]]&amp;" - "&amp;Table728182243240[[#This Row],[CAID]]</f>
        <v xml:space="preserve"> -  - </v>
      </c>
      <c r="N52" s="90"/>
    </row>
    <row r="53" spans="8:14" x14ac:dyDescent="0.25">
      <c r="H53" s="91"/>
      <c r="I53" s="91"/>
      <c r="J53" s="97"/>
      <c r="K53" s="79"/>
      <c r="L53" s="79"/>
      <c r="M53" s="79" t="str">
        <f>Table728182243240[[#This Row],[DBA]]&amp;" - "&amp;Table728182243240[[#This Row],[BIN]]&amp;" - "&amp;Table728182243240[[#This Row],[CAID]]</f>
        <v xml:space="preserve"> -  - </v>
      </c>
      <c r="N53" s="90"/>
    </row>
    <row r="54" spans="8:14" x14ac:dyDescent="0.25">
      <c r="H54" s="91"/>
      <c r="I54" s="91"/>
      <c r="J54" s="97"/>
      <c r="K54" s="79"/>
      <c r="L54" s="79"/>
      <c r="M54" s="79" t="str">
        <f>Table728182243240[[#This Row],[DBA]]&amp;" - "&amp;Table728182243240[[#This Row],[BIN]]&amp;" - "&amp;Table728182243240[[#This Row],[CAID]]</f>
        <v xml:space="preserve"> -  - </v>
      </c>
      <c r="N54" s="90"/>
    </row>
    <row r="55" spans="8:14" x14ac:dyDescent="0.25">
      <c r="H55" s="91"/>
      <c r="I55" s="91"/>
      <c r="J55" s="97"/>
      <c r="K55" s="79"/>
      <c r="L55" s="79"/>
      <c r="M55" s="79" t="str">
        <f>Table728182243240[[#This Row],[DBA]]&amp;" - "&amp;Table728182243240[[#This Row],[BIN]]&amp;" - "&amp;Table728182243240[[#This Row],[CAID]]</f>
        <v xml:space="preserve"> -  - </v>
      </c>
      <c r="N55" s="90"/>
    </row>
    <row r="56" spans="8:14" x14ac:dyDescent="0.25">
      <c r="H56" s="91"/>
      <c r="I56" s="91"/>
      <c r="J56" s="97"/>
      <c r="K56" s="79"/>
      <c r="L56" s="79"/>
      <c r="M56" s="79" t="str">
        <f>Table728182243240[[#This Row],[DBA]]&amp;" - "&amp;Table728182243240[[#This Row],[BIN]]&amp;" - "&amp;Table728182243240[[#This Row],[CAID]]</f>
        <v xml:space="preserve"> -  - </v>
      </c>
      <c r="N56" s="90"/>
    </row>
    <row r="57" spans="8:14" x14ac:dyDescent="0.25">
      <c r="H57" s="91"/>
      <c r="I57" s="91"/>
      <c r="J57" s="97"/>
      <c r="K57" s="79"/>
      <c r="L57" s="79"/>
      <c r="M57" s="79" t="str">
        <f>Table728182243240[[#This Row],[DBA]]&amp;" - "&amp;Table728182243240[[#This Row],[BIN]]&amp;" - "&amp;Table728182243240[[#This Row],[CAID]]</f>
        <v xml:space="preserve"> -  - </v>
      </c>
      <c r="N57" s="90"/>
    </row>
    <row r="58" spans="8:14" x14ac:dyDescent="0.25">
      <c r="H58" s="91"/>
      <c r="I58" s="91"/>
      <c r="J58" s="97"/>
      <c r="K58" s="79"/>
      <c r="L58" s="79"/>
      <c r="M58" s="79" t="str">
        <f>Table728182243240[[#This Row],[DBA]]&amp;" - "&amp;Table728182243240[[#This Row],[BIN]]&amp;" - "&amp;Table728182243240[[#This Row],[CAID]]</f>
        <v xml:space="preserve"> -  - </v>
      </c>
      <c r="N58" s="90"/>
    </row>
    <row r="59" spans="8:14" x14ac:dyDescent="0.25">
      <c r="H59" s="91"/>
      <c r="I59" s="91"/>
      <c r="J59" s="97"/>
      <c r="K59" s="79"/>
      <c r="L59" s="79"/>
      <c r="M59" s="79" t="str">
        <f>Table728182243240[[#This Row],[DBA]]&amp;" - "&amp;Table728182243240[[#This Row],[BIN]]&amp;" - "&amp;Table728182243240[[#This Row],[CAID]]</f>
        <v xml:space="preserve"> -  - </v>
      </c>
      <c r="N59" s="90"/>
    </row>
    <row r="60" spans="8:14" x14ac:dyDescent="0.25">
      <c r="H60" s="91"/>
      <c r="I60" s="91"/>
      <c r="J60" s="97"/>
      <c r="K60" s="79"/>
      <c r="L60" s="79"/>
      <c r="M60" s="79" t="str">
        <f>Table728182243240[[#This Row],[DBA]]&amp;" - "&amp;Table728182243240[[#This Row],[BIN]]&amp;" - "&amp;Table728182243240[[#This Row],[CAID]]</f>
        <v xml:space="preserve"> -  - </v>
      </c>
      <c r="N60" s="90"/>
    </row>
    <row r="61" spans="8:14" x14ac:dyDescent="0.25">
      <c r="H61" s="91"/>
      <c r="I61" s="91"/>
      <c r="J61" s="97"/>
      <c r="K61" s="79"/>
      <c r="L61" s="79"/>
      <c r="M61" s="79" t="str">
        <f>Table728182243240[[#This Row],[DBA]]&amp;" - "&amp;Table728182243240[[#This Row],[BIN]]&amp;" - "&amp;Table728182243240[[#This Row],[CAID]]</f>
        <v xml:space="preserve"> -  - </v>
      </c>
      <c r="N61" s="90"/>
    </row>
    <row r="62" spans="8:14" x14ac:dyDescent="0.25">
      <c r="H62" s="91"/>
      <c r="I62" s="91"/>
      <c r="J62" s="97"/>
      <c r="K62" s="79"/>
      <c r="L62" s="79"/>
      <c r="M62" s="79" t="str">
        <f>Table728182243240[[#This Row],[DBA]]&amp;" - "&amp;Table728182243240[[#This Row],[BIN]]&amp;" - "&amp;Table728182243240[[#This Row],[CAID]]</f>
        <v xml:space="preserve"> -  - </v>
      </c>
      <c r="N62" s="90"/>
    </row>
    <row r="63" spans="8:14" x14ac:dyDescent="0.25">
      <c r="H63" s="91"/>
      <c r="I63" s="91"/>
      <c r="J63" s="97"/>
      <c r="K63" s="79"/>
      <c r="L63" s="79"/>
      <c r="M63" s="79" t="str">
        <f>Table728182243240[[#This Row],[DBA]]&amp;" - "&amp;Table728182243240[[#This Row],[BIN]]&amp;" - "&amp;Table728182243240[[#This Row],[CAID]]</f>
        <v xml:space="preserve"> -  - </v>
      </c>
      <c r="N63" s="90"/>
    </row>
    <row r="64" spans="8:14" x14ac:dyDescent="0.25">
      <c r="H64" s="91"/>
      <c r="I64" s="91"/>
      <c r="J64" s="97"/>
      <c r="K64" s="79"/>
      <c r="L64" s="79"/>
      <c r="M64" s="79" t="str">
        <f>Table728182243240[[#This Row],[DBA]]&amp;" - "&amp;Table728182243240[[#This Row],[BIN]]&amp;" - "&amp;Table728182243240[[#This Row],[CAID]]</f>
        <v xml:space="preserve"> -  - </v>
      </c>
      <c r="N64" s="90"/>
    </row>
    <row r="65" spans="8:14" x14ac:dyDescent="0.25">
      <c r="H65" s="91"/>
      <c r="I65" s="91"/>
      <c r="J65" s="97"/>
      <c r="K65" s="79"/>
      <c r="L65" s="79"/>
      <c r="M65" s="79" t="str">
        <f>Table728182243240[[#This Row],[DBA]]&amp;" - "&amp;Table728182243240[[#This Row],[BIN]]&amp;" - "&amp;Table728182243240[[#This Row],[CAID]]</f>
        <v xml:space="preserve"> -  - </v>
      </c>
      <c r="N65" s="90"/>
    </row>
    <row r="66" spans="8:14" x14ac:dyDescent="0.25">
      <c r="H66" s="91"/>
      <c r="I66" s="91"/>
      <c r="J66" s="97"/>
      <c r="K66" s="79"/>
      <c r="L66" s="79"/>
      <c r="M66" s="79" t="str">
        <f>Table728182243240[[#This Row],[DBA]]&amp;" - "&amp;Table728182243240[[#This Row],[BIN]]&amp;" - "&amp;Table728182243240[[#This Row],[CAID]]</f>
        <v xml:space="preserve"> -  - </v>
      </c>
      <c r="N66" s="90"/>
    </row>
    <row r="67" spans="8:14" x14ac:dyDescent="0.25">
      <c r="H67" s="91"/>
      <c r="I67" s="91"/>
      <c r="J67" s="97"/>
      <c r="K67" s="79"/>
      <c r="L67" s="79"/>
      <c r="M67" s="79" t="str">
        <f>Table728182243240[[#This Row],[DBA]]&amp;" - "&amp;Table728182243240[[#This Row],[BIN]]&amp;" - "&amp;Table728182243240[[#This Row],[CAID]]</f>
        <v xml:space="preserve"> -  - </v>
      </c>
      <c r="N67" s="90"/>
    </row>
    <row r="68" spans="8:14" x14ac:dyDescent="0.25">
      <c r="H68" s="91"/>
      <c r="I68" s="91"/>
      <c r="J68" s="97"/>
      <c r="K68" s="79"/>
      <c r="L68" s="79"/>
      <c r="M68" s="79" t="str">
        <f>Table728182243240[[#This Row],[DBA]]&amp;" - "&amp;Table728182243240[[#This Row],[BIN]]&amp;" - "&amp;Table728182243240[[#This Row],[CAID]]</f>
        <v xml:space="preserve"> -  - </v>
      </c>
      <c r="N68" s="90"/>
    </row>
    <row r="69" spans="8:14" x14ac:dyDescent="0.25">
      <c r="H69" s="91"/>
      <c r="I69" s="91"/>
      <c r="J69" s="97"/>
      <c r="K69" s="79"/>
      <c r="L69" s="79"/>
      <c r="M69" s="79" t="str">
        <f>Table728182243240[[#This Row],[DBA]]&amp;" - "&amp;Table728182243240[[#This Row],[BIN]]&amp;" - "&amp;Table728182243240[[#This Row],[CAID]]</f>
        <v xml:space="preserve"> -  - </v>
      </c>
      <c r="N69" s="90"/>
    </row>
    <row r="70" spans="8:14" x14ac:dyDescent="0.25">
      <c r="H70" s="91"/>
      <c r="I70" s="91"/>
      <c r="J70" s="97"/>
      <c r="K70" s="79"/>
      <c r="L70" s="79"/>
      <c r="M70" s="79" t="str">
        <f>Table728182243240[[#This Row],[DBA]]&amp;" - "&amp;Table728182243240[[#This Row],[BIN]]&amp;" - "&amp;Table728182243240[[#This Row],[CAID]]</f>
        <v xml:space="preserve"> -  - </v>
      </c>
      <c r="N70" s="90"/>
    </row>
    <row r="71" spans="8:14" x14ac:dyDescent="0.25">
      <c r="H71" s="91"/>
      <c r="I71" s="91"/>
      <c r="J71" s="97"/>
      <c r="K71" s="79"/>
      <c r="L71" s="79"/>
      <c r="M71" s="79" t="str">
        <f>Table728182243240[[#This Row],[DBA]]&amp;" - "&amp;Table728182243240[[#This Row],[BIN]]&amp;" - "&amp;Table728182243240[[#This Row],[CAID]]</f>
        <v xml:space="preserve"> -  - </v>
      </c>
      <c r="N71" s="90"/>
    </row>
    <row r="72" spans="8:14" x14ac:dyDescent="0.25">
      <c r="H72" s="91"/>
      <c r="I72" s="91"/>
      <c r="J72" s="97"/>
      <c r="K72" s="79"/>
      <c r="L72" s="79"/>
      <c r="M72" s="79" t="str">
        <f>Table728182243240[[#This Row],[DBA]]&amp;" - "&amp;Table728182243240[[#This Row],[BIN]]&amp;" - "&amp;Table728182243240[[#This Row],[CAID]]</f>
        <v xml:space="preserve"> -  - </v>
      </c>
      <c r="N72" s="90"/>
    </row>
    <row r="73" spans="8:14" x14ac:dyDescent="0.25">
      <c r="H73" s="91"/>
      <c r="I73" s="91"/>
      <c r="J73" s="97"/>
      <c r="K73" s="79"/>
      <c r="L73" s="79"/>
      <c r="M73" s="79" t="str">
        <f>Table728182243240[[#This Row],[DBA]]&amp;" - "&amp;Table728182243240[[#This Row],[BIN]]&amp;" - "&amp;Table728182243240[[#This Row],[CAID]]</f>
        <v xml:space="preserve"> -  - </v>
      </c>
      <c r="N73" s="90"/>
    </row>
    <row r="74" spans="8:14" x14ac:dyDescent="0.25">
      <c r="H74" s="91"/>
      <c r="I74" s="91"/>
      <c r="J74" s="97"/>
      <c r="K74" s="79"/>
      <c r="L74" s="79"/>
      <c r="M74" s="79" t="str">
        <f>Table728182243240[[#This Row],[DBA]]&amp;" - "&amp;Table728182243240[[#This Row],[BIN]]&amp;" - "&amp;Table728182243240[[#This Row],[CAID]]</f>
        <v xml:space="preserve"> -  - </v>
      </c>
      <c r="N74" s="90"/>
    </row>
    <row r="75" spans="8:14" x14ac:dyDescent="0.25">
      <c r="H75" s="91"/>
      <c r="I75" s="91"/>
      <c r="J75" s="97"/>
      <c r="K75" s="79"/>
      <c r="L75" s="79"/>
      <c r="M75" s="79" t="str">
        <f>Table728182243240[[#This Row],[DBA]]&amp;" - "&amp;Table728182243240[[#This Row],[BIN]]&amp;" - "&amp;Table728182243240[[#This Row],[CAID]]</f>
        <v xml:space="preserve"> -  - </v>
      </c>
      <c r="N75" s="90"/>
    </row>
    <row r="76" spans="8:14" x14ac:dyDescent="0.25">
      <c r="H76" s="91"/>
      <c r="I76" s="91"/>
      <c r="J76" s="97"/>
      <c r="K76" s="79"/>
      <c r="L76" s="79"/>
      <c r="M76" s="79" t="str">
        <f>Table728182243240[[#This Row],[DBA]]&amp;" - "&amp;Table728182243240[[#This Row],[BIN]]&amp;" - "&amp;Table728182243240[[#This Row],[CAID]]</f>
        <v xml:space="preserve"> -  - </v>
      </c>
      <c r="N76" s="90"/>
    </row>
    <row r="77" spans="8:14" x14ac:dyDescent="0.25">
      <c r="H77" s="91"/>
      <c r="I77" s="91"/>
      <c r="J77" s="97"/>
      <c r="K77" s="79"/>
      <c r="L77" s="79"/>
      <c r="M77" s="79" t="str">
        <f>Table728182243240[[#This Row],[DBA]]&amp;" - "&amp;Table728182243240[[#This Row],[BIN]]&amp;" - "&amp;Table728182243240[[#This Row],[CAID]]</f>
        <v xml:space="preserve"> -  - </v>
      </c>
      <c r="N77" s="90"/>
    </row>
    <row r="78" spans="8:14" x14ac:dyDescent="0.25">
      <c r="H78" s="91"/>
      <c r="I78" s="91"/>
      <c r="J78" s="97"/>
      <c r="K78" s="79"/>
      <c r="L78" s="79"/>
      <c r="M78" s="79" t="str">
        <f>Table728182243240[[#This Row],[DBA]]&amp;" - "&amp;Table728182243240[[#This Row],[BIN]]&amp;" - "&amp;Table728182243240[[#This Row],[CAID]]</f>
        <v xml:space="preserve"> -  - </v>
      </c>
      <c r="N78" s="90"/>
    </row>
    <row r="79" spans="8:14" x14ac:dyDescent="0.25">
      <c r="H79" s="91"/>
      <c r="I79" s="91"/>
      <c r="J79" s="97"/>
      <c r="K79" s="79"/>
      <c r="L79" s="79"/>
      <c r="M79" s="79" t="str">
        <f>Table728182243240[[#This Row],[DBA]]&amp;" - "&amp;Table728182243240[[#This Row],[BIN]]&amp;" - "&amp;Table728182243240[[#This Row],[CAID]]</f>
        <v xml:space="preserve"> -  - </v>
      </c>
      <c r="N79" s="90"/>
    </row>
    <row r="80" spans="8:14" x14ac:dyDescent="0.25">
      <c r="H80" s="91"/>
      <c r="I80" s="91"/>
      <c r="J80" s="97"/>
      <c r="K80" s="79"/>
      <c r="L80" s="79"/>
      <c r="M80" s="79" t="str">
        <f>Table728182243240[[#This Row],[DBA]]&amp;" - "&amp;Table728182243240[[#This Row],[BIN]]&amp;" - "&amp;Table728182243240[[#This Row],[CAID]]</f>
        <v xml:space="preserve"> -  - </v>
      </c>
      <c r="N80" s="90"/>
    </row>
    <row r="81" spans="8:14" x14ac:dyDescent="0.25">
      <c r="H81" s="91"/>
      <c r="I81" s="91"/>
      <c r="J81" s="97"/>
      <c r="K81" s="79"/>
      <c r="L81" s="79"/>
      <c r="M81" s="79" t="str">
        <f>Table728182243240[[#This Row],[DBA]]&amp;" - "&amp;Table728182243240[[#This Row],[BIN]]&amp;" - "&amp;Table728182243240[[#This Row],[CAID]]</f>
        <v xml:space="preserve"> -  - </v>
      </c>
      <c r="N81" s="90"/>
    </row>
    <row r="82" spans="8:14" x14ac:dyDescent="0.25">
      <c r="H82" s="91"/>
      <c r="I82" s="91"/>
      <c r="J82" s="97"/>
      <c r="K82" s="79"/>
      <c r="L82" s="79"/>
      <c r="M82" s="79" t="str">
        <f>Table728182243240[[#This Row],[DBA]]&amp;" - "&amp;Table728182243240[[#This Row],[BIN]]&amp;" - "&amp;Table728182243240[[#This Row],[CAID]]</f>
        <v xml:space="preserve"> -  - </v>
      </c>
      <c r="N82" s="90"/>
    </row>
    <row r="83" spans="8:14" x14ac:dyDescent="0.25">
      <c r="H83" s="91"/>
      <c r="I83" s="91"/>
      <c r="J83" s="97"/>
      <c r="K83" s="79"/>
      <c r="L83" s="79"/>
      <c r="M83" s="79" t="str">
        <f>Table728182243240[[#This Row],[DBA]]&amp;" - "&amp;Table728182243240[[#This Row],[BIN]]&amp;" - "&amp;Table728182243240[[#This Row],[CAID]]</f>
        <v xml:space="preserve"> -  - </v>
      </c>
      <c r="N83" s="90"/>
    </row>
    <row r="84" spans="8:14" x14ac:dyDescent="0.25">
      <c r="H84" s="91"/>
      <c r="I84" s="91"/>
      <c r="J84" s="97"/>
      <c r="K84" s="79"/>
      <c r="L84" s="79"/>
      <c r="M84" s="79" t="str">
        <f>Table728182243240[[#This Row],[DBA]]&amp;" - "&amp;Table728182243240[[#This Row],[BIN]]&amp;" - "&amp;Table728182243240[[#This Row],[CAID]]</f>
        <v xml:space="preserve"> -  - </v>
      </c>
      <c r="N84" s="90"/>
    </row>
    <row r="85" spans="8:14" x14ac:dyDescent="0.25">
      <c r="H85" s="91"/>
      <c r="I85" s="91"/>
      <c r="J85" s="97"/>
      <c r="K85" s="79"/>
      <c r="L85" s="79"/>
      <c r="M85" s="79" t="str">
        <f>Table728182243240[[#This Row],[DBA]]&amp;" - "&amp;Table728182243240[[#This Row],[BIN]]&amp;" - "&amp;Table728182243240[[#This Row],[CAID]]</f>
        <v xml:space="preserve"> -  - </v>
      </c>
      <c r="N85" s="90"/>
    </row>
    <row r="86" spans="8:14" x14ac:dyDescent="0.25">
      <c r="H86" s="91"/>
      <c r="I86" s="91"/>
      <c r="J86" s="97"/>
      <c r="K86" s="79"/>
      <c r="L86" s="79"/>
      <c r="M86" s="79" t="str">
        <f>Table728182243240[[#This Row],[DBA]]&amp;" - "&amp;Table728182243240[[#This Row],[BIN]]&amp;" - "&amp;Table728182243240[[#This Row],[CAID]]</f>
        <v xml:space="preserve"> -  - </v>
      </c>
      <c r="N86" s="90"/>
    </row>
    <row r="87" spans="8:14" x14ac:dyDescent="0.25">
      <c r="H87" s="91"/>
      <c r="I87" s="91"/>
      <c r="J87" s="97"/>
      <c r="K87" s="79"/>
      <c r="L87" s="79"/>
      <c r="M87" s="79" t="str">
        <f>Table728182243240[[#This Row],[DBA]]&amp;" - "&amp;Table728182243240[[#This Row],[BIN]]&amp;" - "&amp;Table728182243240[[#This Row],[CAID]]</f>
        <v xml:space="preserve"> -  - </v>
      </c>
      <c r="N87" s="90"/>
    </row>
    <row r="88" spans="8:14" x14ac:dyDescent="0.25">
      <c r="H88" s="91"/>
      <c r="I88" s="91"/>
      <c r="J88" s="97"/>
      <c r="K88" s="79"/>
      <c r="L88" s="79"/>
      <c r="M88" s="79" t="str">
        <f>Table728182243240[[#This Row],[DBA]]&amp;" - "&amp;Table728182243240[[#This Row],[BIN]]&amp;" - "&amp;Table728182243240[[#This Row],[CAID]]</f>
        <v xml:space="preserve"> -  - </v>
      </c>
      <c r="N88" s="90"/>
    </row>
    <row r="89" spans="8:14" x14ac:dyDescent="0.25">
      <c r="H89" s="91"/>
      <c r="I89" s="91"/>
      <c r="J89" s="97"/>
      <c r="K89" s="79"/>
      <c r="L89" s="79"/>
      <c r="M89" s="79" t="str">
        <f>Table728182243240[[#This Row],[DBA]]&amp;" - "&amp;Table728182243240[[#This Row],[BIN]]&amp;" - "&amp;Table728182243240[[#This Row],[CAID]]</f>
        <v xml:space="preserve"> -  - </v>
      </c>
      <c r="N89" s="90"/>
    </row>
    <row r="90" spans="8:14" x14ac:dyDescent="0.25">
      <c r="H90" s="91"/>
      <c r="I90" s="91"/>
      <c r="J90" s="97"/>
      <c r="K90" s="79"/>
      <c r="L90" s="79"/>
      <c r="M90" s="79" t="str">
        <f>Table728182243240[[#This Row],[DBA]]&amp;" - "&amp;Table728182243240[[#This Row],[BIN]]&amp;" - "&amp;Table728182243240[[#This Row],[CAID]]</f>
        <v xml:space="preserve"> -  - </v>
      </c>
      <c r="N90" s="90"/>
    </row>
    <row r="91" spans="8:14" x14ac:dyDescent="0.25">
      <c r="H91" s="91"/>
      <c r="I91" s="91"/>
      <c r="J91" s="97"/>
      <c r="K91" s="79"/>
      <c r="L91" s="79"/>
      <c r="M91" s="79" t="str">
        <f>Table728182243240[[#This Row],[DBA]]&amp;" - "&amp;Table728182243240[[#This Row],[BIN]]&amp;" - "&amp;Table728182243240[[#This Row],[CAID]]</f>
        <v xml:space="preserve"> -  - </v>
      </c>
      <c r="N91" s="90"/>
    </row>
    <row r="92" spans="8:14" x14ac:dyDescent="0.25">
      <c r="H92" s="91"/>
      <c r="I92" s="91"/>
      <c r="J92" s="97"/>
      <c r="K92" s="79"/>
      <c r="L92" s="79"/>
      <c r="M92" s="79" t="str">
        <f>Table728182243240[[#This Row],[DBA]]&amp;" - "&amp;Table728182243240[[#This Row],[BIN]]&amp;" - "&amp;Table728182243240[[#This Row],[CAID]]</f>
        <v xml:space="preserve"> -  - </v>
      </c>
      <c r="N92" s="90"/>
    </row>
    <row r="93" spans="8:14" x14ac:dyDescent="0.25">
      <c r="H93" s="91"/>
      <c r="I93" s="91"/>
      <c r="J93" s="97"/>
      <c r="K93" s="79"/>
      <c r="L93" s="79"/>
      <c r="M93" s="79" t="str">
        <f>Table728182243240[[#This Row],[DBA]]&amp;" - "&amp;Table728182243240[[#This Row],[BIN]]&amp;" - "&amp;Table728182243240[[#This Row],[CAID]]</f>
        <v xml:space="preserve"> -  - </v>
      </c>
      <c r="N93" s="90"/>
    </row>
    <row r="94" spans="8:14" x14ac:dyDescent="0.25">
      <c r="H94" s="91"/>
      <c r="I94" s="91"/>
      <c r="J94" s="97"/>
      <c r="K94" s="79"/>
      <c r="L94" s="79"/>
      <c r="M94" s="79" t="str">
        <f>Table728182243240[[#This Row],[DBA]]&amp;" - "&amp;Table728182243240[[#This Row],[BIN]]&amp;" - "&amp;Table728182243240[[#This Row],[CAID]]</f>
        <v xml:space="preserve"> -  - </v>
      </c>
      <c r="N94" s="90"/>
    </row>
    <row r="95" spans="8:14" x14ac:dyDescent="0.25">
      <c r="H95" s="91"/>
      <c r="I95" s="91"/>
      <c r="J95" s="97"/>
      <c r="K95" s="79"/>
      <c r="L95" s="79"/>
      <c r="M95" s="79" t="str">
        <f>Table728182243240[[#This Row],[DBA]]&amp;" - "&amp;Table728182243240[[#This Row],[BIN]]&amp;" - "&amp;Table728182243240[[#This Row],[CAID]]</f>
        <v xml:space="preserve"> -  - </v>
      </c>
      <c r="N95" s="90"/>
    </row>
    <row r="96" spans="8:14" x14ac:dyDescent="0.25">
      <c r="H96" s="91"/>
      <c r="I96" s="91"/>
      <c r="J96" s="97"/>
      <c r="K96" s="79"/>
      <c r="L96" s="79"/>
      <c r="M96" s="79" t="str">
        <f>Table728182243240[[#This Row],[DBA]]&amp;" - "&amp;Table728182243240[[#This Row],[BIN]]&amp;" - "&amp;Table728182243240[[#This Row],[CAID]]</f>
        <v xml:space="preserve"> -  - </v>
      </c>
      <c r="N96" s="90"/>
    </row>
    <row r="97" spans="8:14" x14ac:dyDescent="0.25">
      <c r="H97" s="91"/>
      <c r="I97" s="91"/>
      <c r="J97" s="97"/>
      <c r="K97" s="79"/>
      <c r="L97" s="79"/>
      <c r="M97" s="79" t="str">
        <f>Table728182243240[[#This Row],[DBA]]&amp;" - "&amp;Table728182243240[[#This Row],[BIN]]&amp;" - "&amp;Table728182243240[[#This Row],[CAID]]</f>
        <v xml:space="preserve"> -  - </v>
      </c>
      <c r="N97" s="90"/>
    </row>
    <row r="98" spans="8:14" x14ac:dyDescent="0.25">
      <c r="H98" s="91"/>
      <c r="I98" s="91"/>
      <c r="J98" s="97"/>
      <c r="K98" s="79"/>
      <c r="L98" s="79"/>
      <c r="M98" s="79" t="str">
        <f>Table728182243240[[#This Row],[DBA]]&amp;" - "&amp;Table728182243240[[#This Row],[BIN]]&amp;" - "&amp;Table728182243240[[#This Row],[CAID]]</f>
        <v xml:space="preserve"> -  - </v>
      </c>
      <c r="N98" s="90"/>
    </row>
    <row r="99" spans="8:14" x14ac:dyDescent="0.25">
      <c r="H99" s="91"/>
      <c r="I99" s="91"/>
      <c r="J99" s="97"/>
      <c r="K99" s="79"/>
      <c r="L99" s="79"/>
      <c r="M99" s="79" t="str">
        <f>Table728182243240[[#This Row],[DBA]]&amp;" - "&amp;Table728182243240[[#This Row],[BIN]]&amp;" - "&amp;Table728182243240[[#This Row],[CAID]]</f>
        <v xml:space="preserve"> -  - </v>
      </c>
      <c r="N99" s="90"/>
    </row>
    <row r="100" spans="8:14" x14ac:dyDescent="0.25">
      <c r="H100" s="91"/>
      <c r="I100" s="91"/>
      <c r="J100" s="97"/>
      <c r="K100" s="79"/>
      <c r="L100" s="79"/>
      <c r="M100" s="79" t="str">
        <f>Table728182243240[[#This Row],[DBA]]&amp;" - "&amp;Table728182243240[[#This Row],[BIN]]&amp;" - "&amp;Table728182243240[[#This Row],[CAID]]</f>
        <v xml:space="preserve"> -  - </v>
      </c>
      <c r="N100" s="90"/>
    </row>
    <row r="101" spans="8:14" x14ac:dyDescent="0.25">
      <c r="H101" s="91"/>
      <c r="I101" s="91"/>
      <c r="J101" s="97"/>
      <c r="K101" s="79"/>
      <c r="L101" s="79"/>
      <c r="M101" s="79" t="str">
        <f>Table728182243240[[#This Row],[DBA]]&amp;" - "&amp;Table728182243240[[#This Row],[BIN]]&amp;" - "&amp;Table728182243240[[#This Row],[CAID]]</f>
        <v xml:space="preserve"> -  - </v>
      </c>
      <c r="N101" s="90"/>
    </row>
    <row r="102" spans="8:14" x14ac:dyDescent="0.25">
      <c r="H102" s="91"/>
      <c r="I102" s="91"/>
      <c r="J102" s="97"/>
      <c r="K102" s="79"/>
      <c r="L102" s="79"/>
      <c r="M102" s="79" t="str">
        <f>Table728182243240[[#This Row],[DBA]]&amp;" - "&amp;Table728182243240[[#This Row],[BIN]]&amp;" - "&amp;Table728182243240[[#This Row],[CAID]]</f>
        <v xml:space="preserve"> -  - </v>
      </c>
      <c r="N102" s="90"/>
    </row>
    <row r="103" spans="8:14" x14ac:dyDescent="0.25">
      <c r="H103" s="91"/>
      <c r="I103" s="91"/>
      <c r="J103" s="97"/>
      <c r="K103" s="79"/>
      <c r="L103" s="79"/>
      <c r="M103" s="79" t="str">
        <f>Table728182243240[[#This Row],[DBA]]&amp;" - "&amp;Table728182243240[[#This Row],[BIN]]&amp;" - "&amp;Table728182243240[[#This Row],[CAID]]</f>
        <v xml:space="preserve"> -  - </v>
      </c>
      <c r="N103" s="90"/>
    </row>
    <row r="104" spans="8:14" x14ac:dyDescent="0.25">
      <c r="H104" s="91"/>
      <c r="I104" s="91"/>
      <c r="J104" s="97"/>
      <c r="K104" s="79"/>
      <c r="L104" s="79"/>
      <c r="M104" s="79" t="str">
        <f>Table728182243240[[#This Row],[DBA]]&amp;" - "&amp;Table728182243240[[#This Row],[BIN]]&amp;" - "&amp;Table728182243240[[#This Row],[CAID]]</f>
        <v xml:space="preserve"> -  - </v>
      </c>
      <c r="N104" s="90"/>
    </row>
    <row r="105" spans="8:14" x14ac:dyDescent="0.25">
      <c r="H105" s="91"/>
      <c r="I105" s="91"/>
      <c r="J105" s="97"/>
      <c r="K105" s="79"/>
      <c r="L105" s="79"/>
      <c r="M105" s="79" t="str">
        <f>Table728182243240[[#This Row],[DBA]]&amp;" - "&amp;Table728182243240[[#This Row],[BIN]]&amp;" - "&amp;Table728182243240[[#This Row],[CAID]]</f>
        <v xml:space="preserve"> -  - </v>
      </c>
      <c r="N105" s="90"/>
    </row>
    <row r="106" spans="8:14" x14ac:dyDescent="0.25">
      <c r="H106" s="91"/>
      <c r="I106" s="91"/>
      <c r="J106" s="97"/>
      <c r="K106" s="79"/>
      <c r="L106" s="79"/>
      <c r="M106" s="79" t="str">
        <f>Table728182243240[[#This Row],[DBA]]&amp;" - "&amp;Table728182243240[[#This Row],[BIN]]&amp;" - "&amp;Table728182243240[[#This Row],[CAID]]</f>
        <v xml:space="preserve"> -  - </v>
      </c>
      <c r="N106" s="90"/>
    </row>
    <row r="107" spans="8:14" x14ac:dyDescent="0.25">
      <c r="H107" s="91"/>
      <c r="I107" s="91"/>
      <c r="J107" s="97"/>
      <c r="K107" s="79"/>
      <c r="L107" s="79"/>
      <c r="M107" s="79" t="str">
        <f>Table728182243240[[#This Row],[DBA]]&amp;" - "&amp;Table728182243240[[#This Row],[BIN]]&amp;" - "&amp;Table728182243240[[#This Row],[CAID]]</f>
        <v xml:space="preserve"> -  - </v>
      </c>
      <c r="N107" s="90"/>
    </row>
    <row r="108" spans="8:14" x14ac:dyDescent="0.25">
      <c r="H108" s="91"/>
      <c r="I108" s="91"/>
      <c r="J108" s="97"/>
      <c r="K108" s="79"/>
      <c r="L108" s="79"/>
      <c r="M108" s="79" t="str">
        <f>Table728182243240[[#This Row],[DBA]]&amp;" - "&amp;Table728182243240[[#This Row],[BIN]]&amp;" - "&amp;Table728182243240[[#This Row],[CAID]]</f>
        <v xml:space="preserve"> -  - </v>
      </c>
      <c r="N108" s="90"/>
    </row>
    <row r="109" spans="8:14" x14ac:dyDescent="0.25">
      <c r="H109" s="91"/>
      <c r="I109" s="91"/>
      <c r="J109" s="97"/>
      <c r="K109" s="79"/>
      <c r="L109" s="79"/>
      <c r="M109" s="79" t="str">
        <f>Table728182243240[[#This Row],[DBA]]&amp;" - "&amp;Table728182243240[[#This Row],[BIN]]&amp;" - "&amp;Table728182243240[[#This Row],[CAID]]</f>
        <v xml:space="preserve"> -  - </v>
      </c>
      <c r="N109" s="90"/>
    </row>
    <row r="110" spans="8:14" x14ac:dyDescent="0.25">
      <c r="H110" s="91"/>
      <c r="I110" s="91"/>
      <c r="J110" s="97"/>
      <c r="K110" s="79"/>
      <c r="L110" s="79"/>
      <c r="M110" s="79" t="str">
        <f>Table728182243240[[#This Row],[DBA]]&amp;" - "&amp;Table728182243240[[#This Row],[BIN]]&amp;" - "&amp;Table728182243240[[#This Row],[CAID]]</f>
        <v xml:space="preserve"> -  - </v>
      </c>
      <c r="N110" s="90"/>
    </row>
    <row r="111" spans="8:14" x14ac:dyDescent="0.25">
      <c r="H111" s="91"/>
      <c r="I111" s="91"/>
      <c r="J111" s="97"/>
      <c r="K111" s="79"/>
      <c r="L111" s="79"/>
      <c r="M111" s="79" t="str">
        <f>Table728182243240[[#This Row],[DBA]]&amp;" - "&amp;Table728182243240[[#This Row],[BIN]]&amp;" - "&amp;Table728182243240[[#This Row],[CAID]]</f>
        <v xml:space="preserve"> -  - </v>
      </c>
      <c r="N111" s="90"/>
    </row>
    <row r="112" spans="8:14" x14ac:dyDescent="0.25">
      <c r="H112" s="91"/>
      <c r="I112" s="91"/>
      <c r="J112" s="97"/>
      <c r="K112" s="79"/>
      <c r="L112" s="79"/>
      <c r="M112" s="79" t="str">
        <f>Table728182243240[[#This Row],[DBA]]&amp;" - "&amp;Table728182243240[[#This Row],[BIN]]&amp;" - "&amp;Table728182243240[[#This Row],[CAID]]</f>
        <v xml:space="preserve"> -  - </v>
      </c>
      <c r="N112" s="90"/>
    </row>
    <row r="113" spans="8:14" x14ac:dyDescent="0.25">
      <c r="H113" s="91"/>
      <c r="I113" s="91"/>
      <c r="J113" s="97"/>
      <c r="K113" s="79"/>
      <c r="L113" s="79"/>
      <c r="M113" s="79" t="str">
        <f>Table728182243240[[#This Row],[DBA]]&amp;" - "&amp;Table728182243240[[#This Row],[BIN]]&amp;" - "&amp;Table728182243240[[#This Row],[CAID]]</f>
        <v xml:space="preserve"> -  - </v>
      </c>
      <c r="N113" s="90"/>
    </row>
    <row r="114" spans="8:14" x14ac:dyDescent="0.25">
      <c r="H114" s="91"/>
      <c r="I114" s="91"/>
      <c r="J114" s="97"/>
      <c r="K114" s="79"/>
      <c r="L114" s="79"/>
      <c r="M114" s="79" t="str">
        <f>Table728182243240[[#This Row],[DBA]]&amp;" - "&amp;Table728182243240[[#This Row],[BIN]]&amp;" - "&amp;Table728182243240[[#This Row],[CAID]]</f>
        <v xml:space="preserve"> -  - </v>
      </c>
      <c r="N114" s="90"/>
    </row>
    <row r="115" spans="8:14" x14ac:dyDescent="0.25">
      <c r="H115" s="91"/>
      <c r="I115" s="91"/>
      <c r="J115" s="97"/>
      <c r="K115" s="79"/>
      <c r="L115" s="79"/>
      <c r="M115" s="79" t="str">
        <f>Table728182243240[[#This Row],[DBA]]&amp;" - "&amp;Table728182243240[[#This Row],[BIN]]&amp;" - "&amp;Table728182243240[[#This Row],[CAID]]</f>
        <v xml:space="preserve"> -  - </v>
      </c>
      <c r="N115" s="90"/>
    </row>
    <row r="116" spans="8:14" x14ac:dyDescent="0.25">
      <c r="H116" s="91"/>
      <c r="I116" s="91"/>
      <c r="J116" s="97"/>
      <c r="K116" s="79"/>
      <c r="L116" s="79"/>
      <c r="M116" s="79" t="str">
        <f>Table728182243240[[#This Row],[DBA]]&amp;" - "&amp;Table728182243240[[#This Row],[BIN]]&amp;" - "&amp;Table728182243240[[#This Row],[CAID]]</f>
        <v xml:space="preserve"> -  - </v>
      </c>
      <c r="N116" s="90"/>
    </row>
    <row r="117" spans="8:14" x14ac:dyDescent="0.25">
      <c r="H117" s="91"/>
      <c r="I117" s="91"/>
      <c r="J117" s="97"/>
      <c r="K117" s="79"/>
      <c r="L117" s="79"/>
      <c r="M117" s="79" t="str">
        <f>Table728182243240[[#This Row],[DBA]]&amp;" - "&amp;Table728182243240[[#This Row],[BIN]]&amp;" - "&amp;Table728182243240[[#This Row],[CAID]]</f>
        <v xml:space="preserve"> -  - </v>
      </c>
      <c r="N117" s="90"/>
    </row>
    <row r="118" spans="8:14" x14ac:dyDescent="0.25">
      <c r="H118" s="91"/>
      <c r="I118" s="91"/>
      <c r="J118" s="97"/>
      <c r="K118" s="79"/>
      <c r="L118" s="79"/>
      <c r="M118" s="79" t="str">
        <f>Table728182243240[[#This Row],[DBA]]&amp;" - "&amp;Table728182243240[[#This Row],[BIN]]&amp;" - "&amp;Table728182243240[[#This Row],[CAID]]</f>
        <v xml:space="preserve"> -  - </v>
      </c>
      <c r="N118" s="90"/>
    </row>
    <row r="119" spans="8:14" x14ac:dyDescent="0.25">
      <c r="H119" s="91"/>
      <c r="I119" s="91"/>
      <c r="J119" s="97"/>
      <c r="K119" s="79"/>
      <c r="L119" s="79"/>
      <c r="M119" s="79" t="str">
        <f>Table728182243240[[#This Row],[DBA]]&amp;" - "&amp;Table728182243240[[#This Row],[BIN]]&amp;" - "&amp;Table728182243240[[#This Row],[CAID]]</f>
        <v xml:space="preserve"> -  - </v>
      </c>
      <c r="N119" s="90"/>
    </row>
    <row r="120" spans="8:14" x14ac:dyDescent="0.25">
      <c r="H120" s="91"/>
      <c r="I120" s="91"/>
      <c r="J120" s="97"/>
      <c r="K120" s="79"/>
      <c r="L120" s="79"/>
      <c r="M120" s="79" t="str">
        <f>Table728182243240[[#This Row],[DBA]]&amp;" - "&amp;Table728182243240[[#This Row],[BIN]]&amp;" - "&amp;Table728182243240[[#This Row],[CAID]]</f>
        <v xml:space="preserve"> -  - </v>
      </c>
      <c r="N120" s="90"/>
    </row>
    <row r="121" spans="8:14" x14ac:dyDescent="0.25">
      <c r="H121" s="91"/>
      <c r="I121" s="91"/>
      <c r="J121" s="97"/>
      <c r="K121" s="79"/>
      <c r="L121" s="79"/>
      <c r="M121" s="79" t="str">
        <f>Table728182243240[[#This Row],[DBA]]&amp;" - "&amp;Table728182243240[[#This Row],[BIN]]&amp;" - "&amp;Table728182243240[[#This Row],[CAID]]</f>
        <v xml:space="preserve"> -  - </v>
      </c>
      <c r="N121" s="90"/>
    </row>
    <row r="122" spans="8:14" x14ac:dyDescent="0.25">
      <c r="H122" s="91"/>
      <c r="I122" s="91"/>
      <c r="J122" s="97"/>
      <c r="K122" s="79"/>
      <c r="L122" s="79"/>
      <c r="M122" s="79" t="str">
        <f>Table728182243240[[#This Row],[DBA]]&amp;" - "&amp;Table728182243240[[#This Row],[BIN]]&amp;" - "&amp;Table728182243240[[#This Row],[CAID]]</f>
        <v xml:space="preserve"> -  - </v>
      </c>
      <c r="N122" s="90"/>
    </row>
    <row r="123" spans="8:14" x14ac:dyDescent="0.25">
      <c r="H123" s="91"/>
      <c r="I123" s="91"/>
      <c r="J123" s="97"/>
      <c r="K123" s="79"/>
      <c r="L123" s="79"/>
      <c r="M123" s="79" t="str">
        <f>Table728182243240[[#This Row],[DBA]]&amp;" - "&amp;Table728182243240[[#This Row],[BIN]]&amp;" - "&amp;Table728182243240[[#This Row],[CAID]]</f>
        <v xml:space="preserve"> -  - </v>
      </c>
      <c r="N123" s="90"/>
    </row>
    <row r="124" spans="8:14" x14ac:dyDescent="0.25">
      <c r="H124" s="91"/>
      <c r="I124" s="91"/>
      <c r="J124" s="97"/>
      <c r="K124" s="79"/>
      <c r="L124" s="79"/>
      <c r="M124" s="79" t="str">
        <f>Table728182243240[[#This Row],[DBA]]&amp;" - "&amp;Table728182243240[[#This Row],[BIN]]&amp;" - "&amp;Table728182243240[[#This Row],[CAID]]</f>
        <v xml:space="preserve"> -  - </v>
      </c>
      <c r="N124" s="90"/>
    </row>
    <row r="125" spans="8:14" x14ac:dyDescent="0.25">
      <c r="H125" s="91"/>
      <c r="I125" s="91"/>
      <c r="J125" s="97"/>
      <c r="K125" s="79"/>
      <c r="L125" s="79"/>
      <c r="M125" s="79" t="str">
        <f>Table728182243240[[#This Row],[DBA]]&amp;" - "&amp;Table728182243240[[#This Row],[BIN]]&amp;" - "&amp;Table728182243240[[#This Row],[CAID]]</f>
        <v xml:space="preserve"> -  - </v>
      </c>
      <c r="N125" s="90"/>
    </row>
    <row r="126" spans="8:14" x14ac:dyDescent="0.25">
      <c r="H126" s="91"/>
      <c r="I126" s="91"/>
      <c r="J126" s="97"/>
      <c r="K126" s="79"/>
      <c r="L126" s="79"/>
      <c r="M126" s="79" t="str">
        <f>Table728182243240[[#This Row],[DBA]]&amp;" - "&amp;Table728182243240[[#This Row],[BIN]]&amp;" - "&amp;Table728182243240[[#This Row],[CAID]]</f>
        <v xml:space="preserve"> -  - </v>
      </c>
      <c r="N126" s="90"/>
    </row>
    <row r="127" spans="8:14" x14ac:dyDescent="0.25">
      <c r="H127" s="91"/>
      <c r="I127" s="91"/>
      <c r="J127" s="97"/>
      <c r="K127" s="79"/>
      <c r="L127" s="79"/>
      <c r="M127" s="79" t="str">
        <f>Table728182243240[[#This Row],[DBA]]&amp;" - "&amp;Table728182243240[[#This Row],[BIN]]&amp;" - "&amp;Table728182243240[[#This Row],[CAID]]</f>
        <v xml:space="preserve"> -  - </v>
      </c>
      <c r="N127" s="90"/>
    </row>
    <row r="128" spans="8:14" x14ac:dyDescent="0.25">
      <c r="H128" s="91"/>
      <c r="I128" s="91"/>
      <c r="J128" s="97"/>
      <c r="K128" s="79"/>
      <c r="L128" s="79"/>
      <c r="M128" s="79" t="str">
        <f>Table728182243240[[#This Row],[DBA]]&amp;" - "&amp;Table728182243240[[#This Row],[BIN]]&amp;" - "&amp;Table728182243240[[#This Row],[CAID]]</f>
        <v xml:space="preserve"> -  - </v>
      </c>
      <c r="N128" s="90"/>
    </row>
    <row r="129" spans="8:14" x14ac:dyDescent="0.25">
      <c r="H129" s="91"/>
      <c r="I129" s="91"/>
      <c r="J129" s="97"/>
      <c r="K129" s="79"/>
      <c r="L129" s="79"/>
      <c r="M129" s="79" t="str">
        <f>Table728182243240[[#This Row],[DBA]]&amp;" - "&amp;Table728182243240[[#This Row],[BIN]]&amp;" - "&amp;Table728182243240[[#This Row],[CAID]]</f>
        <v xml:space="preserve"> -  - </v>
      </c>
      <c r="N129" s="90"/>
    </row>
    <row r="130" spans="8:14" x14ac:dyDescent="0.25">
      <c r="H130" s="91"/>
      <c r="I130" s="91"/>
      <c r="J130" s="97"/>
      <c r="K130" s="79"/>
      <c r="L130" s="79"/>
      <c r="M130" s="79" t="str">
        <f>Table728182243240[[#This Row],[DBA]]&amp;" - "&amp;Table728182243240[[#This Row],[BIN]]&amp;" - "&amp;Table728182243240[[#This Row],[CAID]]</f>
        <v xml:space="preserve"> -  - </v>
      </c>
      <c r="N130" s="90"/>
    </row>
    <row r="131" spans="8:14" x14ac:dyDescent="0.25">
      <c r="H131" s="91"/>
      <c r="I131" s="91"/>
      <c r="J131" s="97"/>
      <c r="K131" s="79"/>
      <c r="L131" s="79"/>
      <c r="M131" s="79" t="str">
        <f>Table728182243240[[#This Row],[DBA]]&amp;" - "&amp;Table728182243240[[#This Row],[BIN]]&amp;" - "&amp;Table728182243240[[#This Row],[CAID]]</f>
        <v xml:space="preserve"> -  - </v>
      </c>
      <c r="N131" s="90"/>
    </row>
    <row r="132" spans="8:14" x14ac:dyDescent="0.25">
      <c r="H132" s="91"/>
      <c r="I132" s="91"/>
      <c r="J132" s="97"/>
      <c r="K132" s="79"/>
      <c r="L132" s="79"/>
      <c r="M132" s="79" t="str">
        <f>Table728182243240[[#This Row],[DBA]]&amp;" - "&amp;Table728182243240[[#This Row],[BIN]]&amp;" - "&amp;Table728182243240[[#This Row],[CAID]]</f>
        <v xml:space="preserve"> -  - </v>
      </c>
      <c r="N132" s="90"/>
    </row>
    <row r="133" spans="8:14" x14ac:dyDescent="0.25">
      <c r="H133" s="91"/>
      <c r="I133" s="91"/>
      <c r="J133" s="97"/>
      <c r="K133" s="79"/>
      <c r="L133" s="79"/>
      <c r="M133" s="79" t="str">
        <f>Table728182243240[[#This Row],[DBA]]&amp;" - "&amp;Table728182243240[[#This Row],[BIN]]&amp;" - "&amp;Table728182243240[[#This Row],[CAID]]</f>
        <v xml:space="preserve"> -  - </v>
      </c>
      <c r="N133" s="90"/>
    </row>
    <row r="134" spans="8:14" x14ac:dyDescent="0.25">
      <c r="H134" s="91"/>
      <c r="I134" s="91"/>
      <c r="J134" s="97"/>
      <c r="K134" s="79"/>
      <c r="L134" s="79"/>
      <c r="M134" s="79" t="str">
        <f>Table728182243240[[#This Row],[DBA]]&amp;" - "&amp;Table728182243240[[#This Row],[BIN]]&amp;" - "&amp;Table728182243240[[#This Row],[CAID]]</f>
        <v xml:space="preserve"> -  - </v>
      </c>
      <c r="N134" s="90"/>
    </row>
    <row r="135" spans="8:14" x14ac:dyDescent="0.25">
      <c r="H135" s="91"/>
      <c r="I135" s="91"/>
      <c r="J135" s="97"/>
      <c r="K135" s="79"/>
      <c r="L135" s="79"/>
      <c r="M135" s="79" t="str">
        <f>Table728182243240[[#This Row],[DBA]]&amp;" - "&amp;Table728182243240[[#This Row],[BIN]]&amp;" - "&amp;Table728182243240[[#This Row],[CAID]]</f>
        <v xml:space="preserve"> -  - </v>
      </c>
      <c r="N135" s="90"/>
    </row>
    <row r="136" spans="8:14" x14ac:dyDescent="0.25">
      <c r="H136" s="91"/>
      <c r="I136" s="91"/>
      <c r="J136" s="97"/>
      <c r="K136" s="79"/>
      <c r="L136" s="79"/>
      <c r="M136" s="79" t="str">
        <f>Table728182243240[[#This Row],[DBA]]&amp;" - "&amp;Table728182243240[[#This Row],[BIN]]&amp;" - "&amp;Table728182243240[[#This Row],[CAID]]</f>
        <v xml:space="preserve"> -  - </v>
      </c>
      <c r="N136" s="90"/>
    </row>
    <row r="137" spans="8:14" x14ac:dyDescent="0.25">
      <c r="H137" s="91"/>
      <c r="I137" s="91"/>
      <c r="J137" s="97"/>
      <c r="K137" s="79"/>
      <c r="L137" s="79"/>
      <c r="M137" s="79" t="str">
        <f>Table728182243240[[#This Row],[DBA]]&amp;" - "&amp;Table728182243240[[#This Row],[BIN]]&amp;" - "&amp;Table728182243240[[#This Row],[CAID]]</f>
        <v xml:space="preserve"> -  - </v>
      </c>
      <c r="N137" s="90"/>
    </row>
    <row r="138" spans="8:14" x14ac:dyDescent="0.25">
      <c r="H138" s="91"/>
      <c r="I138" s="91"/>
      <c r="J138" s="97"/>
      <c r="K138" s="79"/>
      <c r="L138" s="79"/>
      <c r="M138" s="79" t="str">
        <f>Table728182243240[[#This Row],[DBA]]&amp;" - "&amp;Table728182243240[[#This Row],[BIN]]&amp;" - "&amp;Table728182243240[[#This Row],[CAID]]</f>
        <v xml:space="preserve"> -  - </v>
      </c>
      <c r="N138" s="90"/>
    </row>
    <row r="139" spans="8:14" x14ac:dyDescent="0.25">
      <c r="H139" s="91"/>
      <c r="I139" s="91"/>
      <c r="J139" s="97"/>
      <c r="K139" s="79"/>
      <c r="L139" s="79"/>
      <c r="M139" s="79" t="str">
        <f>Table728182243240[[#This Row],[DBA]]&amp;" - "&amp;Table728182243240[[#This Row],[BIN]]&amp;" - "&amp;Table728182243240[[#This Row],[CAID]]</f>
        <v xml:space="preserve"> -  - </v>
      </c>
      <c r="N139" s="90"/>
    </row>
    <row r="140" spans="8:14" x14ac:dyDescent="0.25">
      <c r="H140" s="91"/>
      <c r="I140" s="91"/>
      <c r="J140" s="97"/>
      <c r="K140" s="79"/>
      <c r="L140" s="79"/>
      <c r="M140" s="79" t="str">
        <f>Table728182243240[[#This Row],[DBA]]&amp;" - "&amp;Table728182243240[[#This Row],[BIN]]&amp;" - "&amp;Table728182243240[[#This Row],[CAID]]</f>
        <v xml:space="preserve"> -  - </v>
      </c>
      <c r="N140" s="90"/>
    </row>
    <row r="141" spans="8:14" x14ac:dyDescent="0.25">
      <c r="H141" s="91"/>
      <c r="I141" s="91"/>
      <c r="J141" s="97"/>
      <c r="K141" s="79"/>
      <c r="L141" s="79"/>
      <c r="M141" s="79" t="str">
        <f>Table728182243240[[#This Row],[DBA]]&amp;" - "&amp;Table728182243240[[#This Row],[BIN]]&amp;" - "&amp;Table728182243240[[#This Row],[CAID]]</f>
        <v xml:space="preserve"> -  - </v>
      </c>
      <c r="N141" s="90"/>
    </row>
    <row r="142" spans="8:14" x14ac:dyDescent="0.25">
      <c r="H142" s="91"/>
      <c r="I142" s="91"/>
      <c r="J142" s="97"/>
      <c r="K142" s="79"/>
      <c r="L142" s="79"/>
      <c r="M142" s="79" t="str">
        <f>Table728182243240[[#This Row],[DBA]]&amp;" - "&amp;Table728182243240[[#This Row],[BIN]]&amp;" - "&amp;Table728182243240[[#This Row],[CAID]]</f>
        <v xml:space="preserve"> -  - </v>
      </c>
      <c r="N142" s="90"/>
    </row>
    <row r="143" spans="8:14" x14ac:dyDescent="0.25">
      <c r="H143" s="91"/>
      <c r="I143" s="91"/>
      <c r="J143" s="97"/>
      <c r="K143" s="79"/>
      <c r="L143" s="79"/>
      <c r="M143" s="79" t="str">
        <f>Table728182243240[[#This Row],[DBA]]&amp;" - "&amp;Table728182243240[[#This Row],[BIN]]&amp;" - "&amp;Table728182243240[[#This Row],[CAID]]</f>
        <v xml:space="preserve"> -  - </v>
      </c>
      <c r="N143" s="90"/>
    </row>
    <row r="144" spans="8:14" x14ac:dyDescent="0.25">
      <c r="H144" s="91"/>
      <c r="I144" s="91"/>
      <c r="J144" s="97"/>
      <c r="K144" s="79"/>
      <c r="L144" s="79"/>
      <c r="M144" s="79" t="str">
        <f>Table728182243240[[#This Row],[DBA]]&amp;" - "&amp;Table728182243240[[#This Row],[BIN]]&amp;" - "&amp;Table728182243240[[#This Row],[CAID]]</f>
        <v xml:space="preserve"> -  - </v>
      </c>
      <c r="N144" s="90"/>
    </row>
    <row r="145" spans="8:14" x14ac:dyDescent="0.25">
      <c r="H145" s="91"/>
      <c r="I145" s="91"/>
      <c r="J145" s="97"/>
      <c r="K145" s="79"/>
      <c r="L145" s="79"/>
      <c r="M145" s="79" t="str">
        <f>Table728182243240[[#This Row],[DBA]]&amp;" - "&amp;Table728182243240[[#This Row],[BIN]]&amp;" - "&amp;Table728182243240[[#This Row],[CAID]]</f>
        <v xml:space="preserve"> -  - </v>
      </c>
      <c r="N145" s="90"/>
    </row>
    <row r="146" spans="8:14" x14ac:dyDescent="0.25">
      <c r="H146" s="91"/>
      <c r="I146" s="91"/>
      <c r="J146" s="97"/>
      <c r="K146" s="79"/>
      <c r="L146" s="79"/>
      <c r="M146" s="79" t="str">
        <f>Table728182243240[[#This Row],[DBA]]&amp;" - "&amp;Table728182243240[[#This Row],[BIN]]&amp;" - "&amp;Table728182243240[[#This Row],[CAID]]</f>
        <v xml:space="preserve"> -  - </v>
      </c>
      <c r="N146" s="90"/>
    </row>
    <row r="147" spans="8:14" x14ac:dyDescent="0.25">
      <c r="H147" s="91"/>
      <c r="I147" s="91"/>
      <c r="J147" s="97"/>
      <c r="K147" s="79"/>
      <c r="L147" s="79"/>
      <c r="M147" s="79" t="str">
        <f>Table728182243240[[#This Row],[DBA]]&amp;" - "&amp;Table728182243240[[#This Row],[BIN]]&amp;" - "&amp;Table728182243240[[#This Row],[CAID]]</f>
        <v xml:space="preserve"> -  - </v>
      </c>
      <c r="N147" s="90"/>
    </row>
    <row r="148" spans="8:14" x14ac:dyDescent="0.25">
      <c r="H148" s="91"/>
      <c r="I148" s="91"/>
      <c r="J148" s="97"/>
      <c r="K148" s="79"/>
      <c r="L148" s="79"/>
      <c r="M148" s="79" t="str">
        <f>Table728182243240[[#This Row],[DBA]]&amp;" - "&amp;Table728182243240[[#This Row],[BIN]]&amp;" - "&amp;Table728182243240[[#This Row],[CAID]]</f>
        <v xml:space="preserve"> -  - </v>
      </c>
      <c r="N148" s="90"/>
    </row>
    <row r="149" spans="8:14" x14ac:dyDescent="0.25">
      <c r="H149" s="91"/>
      <c r="I149" s="91"/>
      <c r="J149" s="97"/>
      <c r="K149" s="79"/>
      <c r="L149" s="79"/>
      <c r="M149" s="79" t="str">
        <f>Table728182243240[[#This Row],[DBA]]&amp;" - "&amp;Table728182243240[[#This Row],[BIN]]&amp;" - "&amp;Table728182243240[[#This Row],[CAID]]</f>
        <v xml:space="preserve"> -  - </v>
      </c>
      <c r="N149" s="90"/>
    </row>
    <row r="150" spans="8:14" x14ac:dyDescent="0.25">
      <c r="H150" s="91"/>
      <c r="I150" s="91"/>
      <c r="J150" s="97"/>
      <c r="K150" s="79"/>
      <c r="L150" s="79"/>
      <c r="M150" s="79" t="str">
        <f>Table728182243240[[#This Row],[DBA]]&amp;" - "&amp;Table728182243240[[#This Row],[BIN]]&amp;" - "&amp;Table728182243240[[#This Row],[CAID]]</f>
        <v xml:space="preserve"> -  - </v>
      </c>
      <c r="N150" s="90"/>
    </row>
    <row r="151" spans="8:14" x14ac:dyDescent="0.25">
      <c r="H151" s="91"/>
      <c r="I151" s="91"/>
      <c r="J151" s="97"/>
      <c r="K151" s="79"/>
      <c r="L151" s="79"/>
      <c r="M151" s="79" t="str">
        <f>Table728182243240[[#This Row],[DBA]]&amp;" - "&amp;Table728182243240[[#This Row],[BIN]]&amp;" - "&amp;Table728182243240[[#This Row],[CAID]]</f>
        <v xml:space="preserve"> -  - </v>
      </c>
      <c r="N151" s="90"/>
    </row>
    <row r="152" spans="8:14" x14ac:dyDescent="0.25">
      <c r="H152" s="91"/>
      <c r="I152" s="91"/>
      <c r="J152" s="97"/>
      <c r="K152" s="79"/>
      <c r="L152" s="79"/>
      <c r="M152" s="79" t="str">
        <f>Table728182243240[[#This Row],[DBA]]&amp;" - "&amp;Table728182243240[[#This Row],[BIN]]&amp;" - "&amp;Table728182243240[[#This Row],[CAID]]</f>
        <v xml:space="preserve"> -  - </v>
      </c>
      <c r="N152" s="90"/>
    </row>
    <row r="153" spans="8:14" x14ac:dyDescent="0.25">
      <c r="H153" s="91"/>
      <c r="I153" s="91"/>
      <c r="J153" s="97"/>
      <c r="K153" s="79"/>
      <c r="L153" s="79"/>
      <c r="M153" s="79" t="str">
        <f>Table728182243240[[#This Row],[DBA]]&amp;" - "&amp;Table728182243240[[#This Row],[BIN]]&amp;" - "&amp;Table728182243240[[#This Row],[CAID]]</f>
        <v xml:space="preserve"> -  - </v>
      </c>
      <c r="N153" s="90"/>
    </row>
    <row r="154" spans="8:14" x14ac:dyDescent="0.25">
      <c r="H154" s="91"/>
      <c r="I154" s="91"/>
      <c r="J154" s="97"/>
      <c r="K154" s="79"/>
      <c r="L154" s="79"/>
      <c r="M154" s="79" t="str">
        <f>Table728182243240[[#This Row],[DBA]]&amp;" - "&amp;Table728182243240[[#This Row],[BIN]]&amp;" - "&amp;Table728182243240[[#This Row],[CAID]]</f>
        <v xml:space="preserve"> -  - </v>
      </c>
      <c r="N154" s="90"/>
    </row>
    <row r="155" spans="8:14" x14ac:dyDescent="0.25">
      <c r="H155" s="91"/>
      <c r="I155" s="91"/>
      <c r="J155" s="97"/>
      <c r="K155" s="79"/>
      <c r="L155" s="79"/>
      <c r="M155" s="79" t="str">
        <f>Table728182243240[[#This Row],[DBA]]&amp;" - "&amp;Table728182243240[[#This Row],[BIN]]&amp;" - "&amp;Table728182243240[[#This Row],[CAID]]</f>
        <v xml:space="preserve"> -  - </v>
      </c>
      <c r="N155" s="90"/>
    </row>
    <row r="156" spans="8:14" x14ac:dyDescent="0.25">
      <c r="H156" s="91"/>
      <c r="I156" s="91"/>
      <c r="J156" s="97"/>
      <c r="K156" s="79"/>
      <c r="L156" s="79"/>
      <c r="M156" s="79" t="str">
        <f>Table728182243240[[#This Row],[DBA]]&amp;" - "&amp;Table728182243240[[#This Row],[BIN]]&amp;" - "&amp;Table728182243240[[#This Row],[CAID]]</f>
        <v xml:space="preserve"> -  - </v>
      </c>
      <c r="N156" s="90"/>
    </row>
    <row r="157" spans="8:14" x14ac:dyDescent="0.25">
      <c r="H157" s="91"/>
      <c r="I157" s="91"/>
      <c r="J157" s="97"/>
      <c r="K157" s="79"/>
      <c r="L157" s="79"/>
      <c r="M157" s="79" t="str">
        <f>Table728182243240[[#This Row],[DBA]]&amp;" - "&amp;Table728182243240[[#This Row],[BIN]]&amp;" - "&amp;Table728182243240[[#This Row],[CAID]]</f>
        <v xml:space="preserve"> -  - </v>
      </c>
      <c r="N157" s="90"/>
    </row>
    <row r="158" spans="8:14" x14ac:dyDescent="0.25">
      <c r="H158" s="91"/>
      <c r="I158" s="91"/>
      <c r="J158" s="97"/>
      <c r="K158" s="79"/>
      <c r="L158" s="79"/>
      <c r="M158" s="79" t="str">
        <f>Table728182243240[[#This Row],[DBA]]&amp;" - "&amp;Table728182243240[[#This Row],[BIN]]&amp;" - "&amp;Table728182243240[[#This Row],[CAID]]</f>
        <v xml:space="preserve"> -  - </v>
      </c>
      <c r="N158" s="90"/>
    </row>
    <row r="159" spans="8:14" x14ac:dyDescent="0.25">
      <c r="H159" s="91"/>
      <c r="I159" s="91"/>
      <c r="J159" s="97"/>
      <c r="K159" s="79"/>
      <c r="L159" s="79"/>
      <c r="M159" s="79" t="str">
        <f>Table728182243240[[#This Row],[DBA]]&amp;" - "&amp;Table728182243240[[#This Row],[BIN]]&amp;" - "&amp;Table728182243240[[#This Row],[CAID]]</f>
        <v xml:space="preserve"> -  - </v>
      </c>
      <c r="N159" s="90"/>
    </row>
    <row r="160" spans="8:14" x14ac:dyDescent="0.25">
      <c r="H160" s="91"/>
      <c r="I160" s="91"/>
      <c r="J160" s="97"/>
      <c r="K160" s="79"/>
      <c r="L160" s="79"/>
      <c r="M160" s="79" t="str">
        <f>Table728182243240[[#This Row],[DBA]]&amp;" - "&amp;Table728182243240[[#This Row],[BIN]]&amp;" - "&amp;Table728182243240[[#This Row],[CAID]]</f>
        <v xml:space="preserve"> -  - </v>
      </c>
      <c r="N160" s="90"/>
    </row>
    <row r="161" spans="8:14" x14ac:dyDescent="0.25">
      <c r="H161" s="91"/>
      <c r="I161" s="91"/>
      <c r="J161" s="97"/>
      <c r="K161" s="79"/>
      <c r="L161" s="79"/>
      <c r="M161" s="79" t="str">
        <f>Table728182243240[[#This Row],[DBA]]&amp;" - "&amp;Table728182243240[[#This Row],[BIN]]&amp;" - "&amp;Table728182243240[[#This Row],[CAID]]</f>
        <v xml:space="preserve"> -  - </v>
      </c>
      <c r="N161" s="90"/>
    </row>
    <row r="162" spans="8:14" x14ac:dyDescent="0.25">
      <c r="H162" s="91"/>
      <c r="I162" s="91"/>
      <c r="J162" s="97"/>
      <c r="K162" s="79"/>
      <c r="L162" s="79"/>
      <c r="M162" s="79" t="str">
        <f>Table728182243240[[#This Row],[DBA]]&amp;" - "&amp;Table728182243240[[#This Row],[BIN]]&amp;" - "&amp;Table728182243240[[#This Row],[CAID]]</f>
        <v xml:space="preserve"> -  - </v>
      </c>
      <c r="N162" s="90"/>
    </row>
    <row r="163" spans="8:14" x14ac:dyDescent="0.25">
      <c r="H163" s="91"/>
      <c r="I163" s="91"/>
      <c r="J163" s="97"/>
      <c r="K163" s="79"/>
      <c r="L163" s="79"/>
      <c r="M163" s="79" t="str">
        <f>Table728182243240[[#This Row],[DBA]]&amp;" - "&amp;Table728182243240[[#This Row],[BIN]]&amp;" - "&amp;Table728182243240[[#This Row],[CAID]]</f>
        <v xml:space="preserve"> -  - </v>
      </c>
      <c r="N163" s="90"/>
    </row>
    <row r="164" spans="8:14" x14ac:dyDescent="0.25">
      <c r="H164" s="91"/>
      <c r="I164" s="91"/>
      <c r="J164" s="97"/>
      <c r="K164" s="79"/>
      <c r="L164" s="79"/>
      <c r="M164" s="79" t="str">
        <f>Table728182243240[[#This Row],[DBA]]&amp;" - "&amp;Table728182243240[[#This Row],[BIN]]&amp;" - "&amp;Table728182243240[[#This Row],[CAID]]</f>
        <v xml:space="preserve"> -  - </v>
      </c>
      <c r="N164" s="90"/>
    </row>
    <row r="165" spans="8:14" x14ac:dyDescent="0.25">
      <c r="H165" s="91"/>
      <c r="I165" s="91"/>
      <c r="J165" s="97"/>
      <c r="K165" s="79"/>
      <c r="L165" s="79"/>
      <c r="M165" s="79" t="str">
        <f>Table728182243240[[#This Row],[DBA]]&amp;" - "&amp;Table728182243240[[#This Row],[BIN]]&amp;" - "&amp;Table728182243240[[#This Row],[CAID]]</f>
        <v xml:space="preserve"> -  - </v>
      </c>
      <c r="N165" s="90"/>
    </row>
    <row r="166" spans="8:14" x14ac:dyDescent="0.25">
      <c r="H166" s="91"/>
      <c r="I166" s="91"/>
      <c r="J166" s="97"/>
      <c r="K166" s="79"/>
      <c r="L166" s="79"/>
      <c r="M166" s="79" t="str">
        <f>Table728182243240[[#This Row],[DBA]]&amp;" - "&amp;Table728182243240[[#This Row],[BIN]]&amp;" - "&amp;Table728182243240[[#This Row],[CAID]]</f>
        <v xml:space="preserve"> -  - </v>
      </c>
      <c r="N166" s="90"/>
    </row>
    <row r="167" spans="8:14" x14ac:dyDescent="0.25">
      <c r="H167" s="91"/>
      <c r="I167" s="91"/>
      <c r="J167" s="97"/>
      <c r="K167" s="79"/>
      <c r="L167" s="79"/>
      <c r="M167" s="79" t="str">
        <f>Table728182243240[[#This Row],[DBA]]&amp;" - "&amp;Table728182243240[[#This Row],[BIN]]&amp;" - "&amp;Table728182243240[[#This Row],[CAID]]</f>
        <v xml:space="preserve"> -  - </v>
      </c>
      <c r="N167" s="90"/>
    </row>
    <row r="168" spans="8:14" x14ac:dyDescent="0.25">
      <c r="H168" s="91"/>
      <c r="I168" s="91"/>
      <c r="J168" s="97"/>
      <c r="K168" s="79"/>
      <c r="L168" s="79"/>
      <c r="M168" s="79" t="str">
        <f>Table728182243240[[#This Row],[DBA]]&amp;" - "&amp;Table728182243240[[#This Row],[BIN]]&amp;" - "&amp;Table728182243240[[#This Row],[CAID]]</f>
        <v xml:space="preserve"> -  - </v>
      </c>
      <c r="N168" s="90"/>
    </row>
    <row r="169" spans="8:14" x14ac:dyDescent="0.25">
      <c r="H169" s="91"/>
      <c r="I169" s="91"/>
      <c r="J169" s="97"/>
      <c r="K169" s="79"/>
      <c r="L169" s="79"/>
      <c r="M169" s="79" t="str">
        <f>Table728182243240[[#This Row],[DBA]]&amp;" - "&amp;Table728182243240[[#This Row],[BIN]]&amp;" - "&amp;Table728182243240[[#This Row],[CAID]]</f>
        <v xml:space="preserve"> -  - </v>
      </c>
      <c r="N169" s="90"/>
    </row>
    <row r="170" spans="8:14" x14ac:dyDescent="0.25">
      <c r="H170" s="91"/>
      <c r="I170" s="91"/>
      <c r="J170" s="97"/>
      <c r="K170" s="79"/>
      <c r="L170" s="79"/>
      <c r="M170" s="79" t="str">
        <f>Table728182243240[[#This Row],[DBA]]&amp;" - "&amp;Table728182243240[[#This Row],[BIN]]&amp;" - "&amp;Table728182243240[[#This Row],[CAID]]</f>
        <v xml:space="preserve"> -  - </v>
      </c>
      <c r="N170" s="90"/>
    </row>
    <row r="171" spans="8:14" x14ac:dyDescent="0.25">
      <c r="H171" s="91"/>
      <c r="I171" s="91"/>
      <c r="J171" s="97"/>
      <c r="K171" s="79"/>
      <c r="L171" s="79"/>
      <c r="M171" s="79" t="str">
        <f>Table728182243240[[#This Row],[DBA]]&amp;" - "&amp;Table728182243240[[#This Row],[BIN]]&amp;" - "&amp;Table728182243240[[#This Row],[CAID]]</f>
        <v xml:space="preserve"> -  - </v>
      </c>
      <c r="N171" s="90"/>
    </row>
    <row r="172" spans="8:14" x14ac:dyDescent="0.25">
      <c r="H172" s="91"/>
      <c r="I172" s="91"/>
      <c r="J172" s="97"/>
      <c r="K172" s="79"/>
      <c r="L172" s="79"/>
      <c r="M172" s="79" t="str">
        <f>Table728182243240[[#This Row],[DBA]]&amp;" - "&amp;Table728182243240[[#This Row],[BIN]]&amp;" - "&amp;Table728182243240[[#This Row],[CAID]]</f>
        <v xml:space="preserve"> -  - </v>
      </c>
      <c r="N172" s="90"/>
    </row>
    <row r="173" spans="8:14" x14ac:dyDescent="0.25">
      <c r="H173" s="91"/>
      <c r="I173" s="91"/>
      <c r="J173" s="97"/>
      <c r="K173" s="79"/>
      <c r="L173" s="79"/>
      <c r="M173" s="79" t="str">
        <f>Table728182243240[[#This Row],[DBA]]&amp;" - "&amp;Table728182243240[[#This Row],[BIN]]&amp;" - "&amp;Table728182243240[[#This Row],[CAID]]</f>
        <v xml:space="preserve"> -  - </v>
      </c>
      <c r="N173" s="90"/>
    </row>
    <row r="174" spans="8:14" x14ac:dyDescent="0.25">
      <c r="H174" s="91"/>
      <c r="I174" s="91"/>
      <c r="J174" s="97"/>
      <c r="K174" s="79"/>
      <c r="L174" s="79"/>
      <c r="M174" s="79" t="str">
        <f>Table728182243240[[#This Row],[DBA]]&amp;" - "&amp;Table728182243240[[#This Row],[BIN]]&amp;" - "&amp;Table728182243240[[#This Row],[CAID]]</f>
        <v xml:space="preserve"> -  - </v>
      </c>
      <c r="N174" s="90"/>
    </row>
    <row r="175" spans="8:14" x14ac:dyDescent="0.25">
      <c r="H175" s="91"/>
      <c r="I175" s="91"/>
      <c r="J175" s="97"/>
      <c r="K175" s="79"/>
      <c r="L175" s="79"/>
      <c r="M175" s="79" t="str">
        <f>Table728182243240[[#This Row],[DBA]]&amp;" - "&amp;Table728182243240[[#This Row],[BIN]]&amp;" - "&amp;Table728182243240[[#This Row],[CAID]]</f>
        <v xml:space="preserve"> -  - </v>
      </c>
      <c r="N175" s="90"/>
    </row>
    <row r="176" spans="8:14" x14ac:dyDescent="0.25">
      <c r="H176" s="91"/>
      <c r="I176" s="91"/>
      <c r="J176" s="97"/>
      <c r="K176" s="79"/>
      <c r="L176" s="79"/>
      <c r="M176" s="79" t="str">
        <f>Table728182243240[[#This Row],[DBA]]&amp;" - "&amp;Table728182243240[[#This Row],[BIN]]&amp;" - "&amp;Table728182243240[[#This Row],[CAID]]</f>
        <v xml:space="preserve"> -  - </v>
      </c>
      <c r="N176" s="90"/>
    </row>
    <row r="177" spans="8:14" x14ac:dyDescent="0.25">
      <c r="H177" s="91"/>
      <c r="I177" s="91"/>
      <c r="J177" s="97"/>
      <c r="K177" s="79"/>
      <c r="L177" s="79"/>
      <c r="M177" s="79" t="str">
        <f>Table728182243240[[#This Row],[DBA]]&amp;" - "&amp;Table728182243240[[#This Row],[BIN]]&amp;" - "&amp;Table728182243240[[#This Row],[CAID]]</f>
        <v xml:space="preserve"> -  - </v>
      </c>
      <c r="N177" s="90"/>
    </row>
    <row r="178" spans="8:14" x14ac:dyDescent="0.25">
      <c r="H178" s="91"/>
      <c r="I178" s="91"/>
      <c r="J178" s="97"/>
      <c r="K178" s="79"/>
      <c r="L178" s="79"/>
      <c r="M178" s="79" t="str">
        <f>Table728182243240[[#This Row],[DBA]]&amp;" - "&amp;Table728182243240[[#This Row],[BIN]]&amp;" - "&amp;Table728182243240[[#This Row],[CAID]]</f>
        <v xml:space="preserve"> -  - </v>
      </c>
      <c r="N178" s="90"/>
    </row>
    <row r="179" spans="8:14" x14ac:dyDescent="0.25">
      <c r="H179" s="91"/>
      <c r="I179" s="91"/>
      <c r="J179" s="97"/>
      <c r="K179" s="79"/>
      <c r="L179" s="79"/>
      <c r="M179" s="79" t="str">
        <f>Table728182243240[[#This Row],[DBA]]&amp;" - "&amp;Table728182243240[[#This Row],[BIN]]&amp;" - "&amp;Table728182243240[[#This Row],[CAID]]</f>
        <v xml:space="preserve"> -  - </v>
      </c>
      <c r="N179" s="90"/>
    </row>
    <row r="180" spans="8:14" x14ac:dyDescent="0.25">
      <c r="H180" s="91"/>
      <c r="I180" s="91"/>
      <c r="J180" s="97"/>
      <c r="K180" s="79"/>
      <c r="L180" s="79"/>
      <c r="M180" s="79" t="str">
        <f>Table728182243240[[#This Row],[DBA]]&amp;" - "&amp;Table728182243240[[#This Row],[BIN]]&amp;" - "&amp;Table728182243240[[#This Row],[CAID]]</f>
        <v xml:space="preserve"> -  - </v>
      </c>
      <c r="N180" s="90"/>
    </row>
    <row r="181" spans="8:14" x14ac:dyDescent="0.25">
      <c r="H181" s="91"/>
      <c r="I181" s="91"/>
      <c r="J181" s="97"/>
      <c r="K181" s="79"/>
      <c r="L181" s="79"/>
      <c r="M181" s="79" t="str">
        <f>Table728182243240[[#This Row],[DBA]]&amp;" - "&amp;Table728182243240[[#This Row],[BIN]]&amp;" - "&amp;Table728182243240[[#This Row],[CAID]]</f>
        <v xml:space="preserve"> -  - </v>
      </c>
      <c r="N181" s="90"/>
    </row>
    <row r="182" spans="8:14" x14ac:dyDescent="0.25">
      <c r="H182" s="91"/>
      <c r="I182" s="91"/>
      <c r="J182" s="97"/>
      <c r="K182" s="79"/>
      <c r="L182" s="79"/>
      <c r="M182" s="79" t="str">
        <f>Table728182243240[[#This Row],[DBA]]&amp;" - "&amp;Table728182243240[[#This Row],[BIN]]&amp;" - "&amp;Table728182243240[[#This Row],[CAID]]</f>
        <v xml:space="preserve"> -  - </v>
      </c>
      <c r="N182" s="90"/>
    </row>
    <row r="183" spans="8:14" x14ac:dyDescent="0.25">
      <c r="H183" s="91"/>
      <c r="I183" s="91"/>
      <c r="J183" s="97"/>
      <c r="K183" s="79"/>
      <c r="L183" s="79"/>
      <c r="M183" s="79" t="str">
        <f>Table728182243240[[#This Row],[DBA]]&amp;" - "&amp;Table728182243240[[#This Row],[BIN]]&amp;" - "&amp;Table728182243240[[#This Row],[CAID]]</f>
        <v xml:space="preserve"> -  - </v>
      </c>
      <c r="N183" s="90"/>
    </row>
    <row r="184" spans="8:14" x14ac:dyDescent="0.25">
      <c r="H184" s="91"/>
      <c r="I184" s="91"/>
      <c r="J184" s="97"/>
      <c r="K184" s="79"/>
      <c r="L184" s="79"/>
      <c r="M184" s="79" t="str">
        <f>Table728182243240[[#This Row],[DBA]]&amp;" - "&amp;Table728182243240[[#This Row],[BIN]]&amp;" - "&amp;Table728182243240[[#This Row],[CAID]]</f>
        <v xml:space="preserve"> -  - </v>
      </c>
      <c r="N184" s="90"/>
    </row>
    <row r="185" spans="8:14" x14ac:dyDescent="0.25">
      <c r="H185" s="91"/>
      <c r="I185" s="91"/>
      <c r="J185" s="97"/>
      <c r="K185" s="79"/>
      <c r="L185" s="79"/>
      <c r="M185" s="79" t="str">
        <f>Table728182243240[[#This Row],[DBA]]&amp;" - "&amp;Table728182243240[[#This Row],[BIN]]&amp;" - "&amp;Table728182243240[[#This Row],[CAID]]</f>
        <v xml:space="preserve"> -  - </v>
      </c>
      <c r="N185" s="90"/>
    </row>
    <row r="186" spans="8:14" x14ac:dyDescent="0.25">
      <c r="H186" s="91"/>
      <c r="I186" s="91"/>
      <c r="J186" s="97"/>
      <c r="K186" s="79"/>
      <c r="L186" s="79"/>
      <c r="M186" s="79" t="str">
        <f>Table728182243240[[#This Row],[DBA]]&amp;" - "&amp;Table728182243240[[#This Row],[BIN]]&amp;" - "&amp;Table728182243240[[#This Row],[CAID]]</f>
        <v xml:space="preserve"> -  - </v>
      </c>
      <c r="N186" s="90"/>
    </row>
    <row r="187" spans="8:14" x14ac:dyDescent="0.25">
      <c r="H187" s="91"/>
      <c r="I187" s="91"/>
      <c r="J187" s="97"/>
      <c r="K187" s="79"/>
      <c r="L187" s="79"/>
      <c r="M187" s="79" t="str">
        <f>Table728182243240[[#This Row],[DBA]]&amp;" - "&amp;Table728182243240[[#This Row],[BIN]]&amp;" - "&amp;Table728182243240[[#This Row],[CAID]]</f>
        <v xml:space="preserve"> -  - </v>
      </c>
      <c r="N187" s="90"/>
    </row>
    <row r="188" spans="8:14" x14ac:dyDescent="0.25">
      <c r="H188" s="91"/>
      <c r="I188" s="91"/>
      <c r="J188" s="97"/>
      <c r="K188" s="79"/>
      <c r="L188" s="79"/>
      <c r="M188" s="79" t="str">
        <f>Table728182243240[[#This Row],[DBA]]&amp;" - "&amp;Table728182243240[[#This Row],[BIN]]&amp;" - "&amp;Table728182243240[[#This Row],[CAID]]</f>
        <v xml:space="preserve"> -  - </v>
      </c>
      <c r="N188" s="90"/>
    </row>
    <row r="189" spans="8:14" x14ac:dyDescent="0.25">
      <c r="H189" s="91"/>
      <c r="I189" s="91"/>
      <c r="J189" s="97"/>
      <c r="K189" s="79"/>
      <c r="L189" s="79"/>
      <c r="M189" s="79" t="str">
        <f>Table728182243240[[#This Row],[DBA]]&amp;" - "&amp;Table728182243240[[#This Row],[BIN]]&amp;" - "&amp;Table728182243240[[#This Row],[CAID]]</f>
        <v xml:space="preserve"> -  - </v>
      </c>
      <c r="N189" s="90"/>
    </row>
    <row r="190" spans="8:14" x14ac:dyDescent="0.25">
      <c r="H190" s="91"/>
      <c r="I190" s="91"/>
      <c r="J190" s="97"/>
      <c r="K190" s="79"/>
      <c r="L190" s="79"/>
      <c r="M190" s="79" t="str">
        <f>Table728182243240[[#This Row],[DBA]]&amp;" - "&amp;Table728182243240[[#This Row],[BIN]]&amp;" - "&amp;Table728182243240[[#This Row],[CAID]]</f>
        <v xml:space="preserve"> -  - </v>
      </c>
      <c r="N190" s="90"/>
    </row>
    <row r="191" spans="8:14" x14ac:dyDescent="0.25">
      <c r="H191" s="91"/>
      <c r="I191" s="91"/>
      <c r="J191" s="97"/>
      <c r="K191" s="79"/>
      <c r="L191" s="79"/>
      <c r="M191" s="79" t="str">
        <f>Table728182243240[[#This Row],[DBA]]&amp;" - "&amp;Table728182243240[[#This Row],[BIN]]&amp;" - "&amp;Table728182243240[[#This Row],[CAID]]</f>
        <v xml:space="preserve"> -  - </v>
      </c>
      <c r="N191" s="90"/>
    </row>
    <row r="192" spans="8:14" x14ac:dyDescent="0.25">
      <c r="H192" s="91"/>
      <c r="I192" s="91"/>
      <c r="J192" s="97"/>
      <c r="K192" s="79"/>
      <c r="L192" s="79"/>
      <c r="M192" s="79" t="str">
        <f>Table728182243240[[#This Row],[DBA]]&amp;" - "&amp;Table728182243240[[#This Row],[BIN]]&amp;" - "&amp;Table728182243240[[#This Row],[CAID]]</f>
        <v xml:space="preserve"> -  - </v>
      </c>
      <c r="N192" s="90"/>
    </row>
    <row r="193" spans="8:14" x14ac:dyDescent="0.25">
      <c r="H193" s="91"/>
      <c r="I193" s="91"/>
      <c r="J193" s="97"/>
      <c r="K193" s="79"/>
      <c r="L193" s="79"/>
      <c r="M193" s="79" t="str">
        <f>Table728182243240[[#This Row],[DBA]]&amp;" - "&amp;Table728182243240[[#This Row],[BIN]]&amp;" - "&amp;Table728182243240[[#This Row],[CAID]]</f>
        <v xml:space="preserve"> -  - </v>
      </c>
      <c r="N193" s="90"/>
    </row>
    <row r="194" spans="8:14" x14ac:dyDescent="0.25">
      <c r="H194" s="91"/>
      <c r="I194" s="91"/>
      <c r="J194" s="97"/>
      <c r="K194" s="79"/>
      <c r="L194" s="79"/>
      <c r="M194" s="79" t="str">
        <f>Table728182243240[[#This Row],[DBA]]&amp;" - "&amp;Table728182243240[[#This Row],[BIN]]&amp;" - "&amp;Table728182243240[[#This Row],[CAID]]</f>
        <v xml:space="preserve"> -  - </v>
      </c>
      <c r="N194" s="90"/>
    </row>
    <row r="195" spans="8:14" x14ac:dyDescent="0.25">
      <c r="H195" s="91"/>
      <c r="I195" s="91"/>
      <c r="J195" s="97"/>
      <c r="K195" s="79"/>
      <c r="L195" s="79"/>
      <c r="M195" s="79" t="str">
        <f>Table728182243240[[#This Row],[DBA]]&amp;" - "&amp;Table728182243240[[#This Row],[BIN]]&amp;" - "&amp;Table728182243240[[#This Row],[CAID]]</f>
        <v xml:space="preserve"> -  - </v>
      </c>
      <c r="N195" s="90"/>
    </row>
    <row r="196" spans="8:14" x14ac:dyDescent="0.25">
      <c r="H196" s="91"/>
      <c r="I196" s="91"/>
      <c r="J196" s="97"/>
      <c r="K196" s="79"/>
      <c r="L196" s="79"/>
      <c r="M196" s="79" t="str">
        <f>Table728182243240[[#This Row],[DBA]]&amp;" - "&amp;Table728182243240[[#This Row],[BIN]]&amp;" - "&amp;Table728182243240[[#This Row],[CAID]]</f>
        <v xml:space="preserve"> -  - </v>
      </c>
      <c r="N196" s="90"/>
    </row>
    <row r="197" spans="8:14" x14ac:dyDescent="0.25">
      <c r="H197" s="91"/>
      <c r="I197" s="91"/>
      <c r="J197" s="97"/>
      <c r="K197" s="79"/>
      <c r="L197" s="79"/>
      <c r="M197" s="79" t="str">
        <f>Table728182243240[[#This Row],[DBA]]&amp;" - "&amp;Table728182243240[[#This Row],[BIN]]&amp;" - "&amp;Table728182243240[[#This Row],[CAID]]</f>
        <v xml:space="preserve"> -  - </v>
      </c>
      <c r="N197" s="90"/>
    </row>
    <row r="198" spans="8:14" x14ac:dyDescent="0.25">
      <c r="H198" s="91"/>
      <c r="I198" s="91"/>
      <c r="J198" s="97"/>
      <c r="K198" s="79"/>
      <c r="L198" s="79"/>
      <c r="M198" s="79" t="str">
        <f>Table728182243240[[#This Row],[DBA]]&amp;" - "&amp;Table728182243240[[#This Row],[BIN]]&amp;" - "&amp;Table728182243240[[#This Row],[CAID]]</f>
        <v xml:space="preserve"> -  - </v>
      </c>
      <c r="N198" s="90"/>
    </row>
    <row r="199" spans="8:14" x14ac:dyDescent="0.25">
      <c r="H199" s="91"/>
      <c r="I199" s="91"/>
      <c r="J199" s="97"/>
      <c r="K199" s="79"/>
      <c r="L199" s="79"/>
      <c r="M199" s="79" t="str">
        <f>Table728182243240[[#This Row],[DBA]]&amp;" - "&amp;Table728182243240[[#This Row],[BIN]]&amp;" - "&amp;Table728182243240[[#This Row],[CAID]]</f>
        <v xml:space="preserve"> -  - </v>
      </c>
      <c r="N199" s="90"/>
    </row>
    <row r="200" spans="8:14" x14ac:dyDescent="0.25">
      <c r="H200" s="91"/>
      <c r="I200" s="91"/>
      <c r="J200" s="97"/>
      <c r="K200" s="79"/>
      <c r="L200" s="79"/>
      <c r="M200" s="79" t="str">
        <f>Table728182243240[[#This Row],[DBA]]&amp;" - "&amp;Table728182243240[[#This Row],[BIN]]&amp;" - "&amp;Table728182243240[[#This Row],[CAID]]</f>
        <v xml:space="preserve"> -  - </v>
      </c>
      <c r="N200" s="90"/>
    </row>
    <row r="201" spans="8:14" x14ac:dyDescent="0.25">
      <c r="H201" s="91"/>
      <c r="I201" s="91"/>
      <c r="J201" s="97"/>
      <c r="K201" s="79"/>
      <c r="L201" s="79"/>
      <c r="M201" s="79" t="str">
        <f>Table728182243240[[#This Row],[DBA]]&amp;" - "&amp;Table728182243240[[#This Row],[BIN]]&amp;" - "&amp;Table728182243240[[#This Row],[CAID]]</f>
        <v xml:space="preserve"> -  - </v>
      </c>
      <c r="N201" s="90"/>
    </row>
    <row r="202" spans="8:14" x14ac:dyDescent="0.25">
      <c r="H202" s="91"/>
      <c r="I202" s="91"/>
      <c r="J202" s="97"/>
      <c r="K202" s="79"/>
      <c r="L202" s="79"/>
      <c r="M202" s="79" t="str">
        <f>Table728182243240[[#This Row],[DBA]]&amp;" - "&amp;Table728182243240[[#This Row],[BIN]]&amp;" - "&amp;Table728182243240[[#This Row],[CAID]]</f>
        <v xml:space="preserve"> -  - </v>
      </c>
      <c r="N202" s="90"/>
    </row>
    <row r="203" spans="8:14" x14ac:dyDescent="0.25">
      <c r="H203" s="91"/>
      <c r="I203" s="91"/>
      <c r="J203" s="97"/>
      <c r="K203" s="79"/>
      <c r="L203" s="79"/>
      <c r="M203" s="79" t="str">
        <f>Table728182243240[[#This Row],[DBA]]&amp;" - "&amp;Table728182243240[[#This Row],[BIN]]&amp;" - "&amp;Table728182243240[[#This Row],[CAID]]</f>
        <v xml:space="preserve"> -  - </v>
      </c>
      <c r="N203" s="90"/>
    </row>
    <row r="204" spans="8:14" x14ac:dyDescent="0.25">
      <c r="H204" s="91"/>
      <c r="I204" s="91"/>
      <c r="J204" s="97"/>
      <c r="K204" s="79"/>
      <c r="L204" s="79"/>
      <c r="M204" s="79" t="str">
        <f>Table728182243240[[#This Row],[DBA]]&amp;" - "&amp;Table728182243240[[#This Row],[BIN]]&amp;" - "&amp;Table728182243240[[#This Row],[CAID]]</f>
        <v xml:space="preserve"> -  - </v>
      </c>
      <c r="N204" s="90"/>
    </row>
    <row r="205" spans="8:14" x14ac:dyDescent="0.25">
      <c r="H205" s="91"/>
      <c r="I205" s="91"/>
      <c r="J205" s="97"/>
      <c r="K205" s="79"/>
      <c r="L205" s="79"/>
      <c r="M205" s="79" t="str">
        <f>Table728182243240[[#This Row],[DBA]]&amp;" - "&amp;Table728182243240[[#This Row],[BIN]]&amp;" - "&amp;Table728182243240[[#This Row],[CAID]]</f>
        <v xml:space="preserve"> -  - </v>
      </c>
      <c r="N205" s="90"/>
    </row>
    <row r="206" spans="8:14" x14ac:dyDescent="0.25">
      <c r="H206" s="91"/>
      <c r="I206" s="91"/>
      <c r="J206" s="97"/>
      <c r="K206" s="79"/>
      <c r="L206" s="79"/>
      <c r="M206" s="79" t="str">
        <f>Table728182243240[[#This Row],[DBA]]&amp;" - "&amp;Table728182243240[[#This Row],[BIN]]&amp;" - "&amp;Table728182243240[[#This Row],[CAID]]</f>
        <v xml:space="preserve"> -  - </v>
      </c>
      <c r="N206" s="90"/>
    </row>
    <row r="207" spans="8:14" x14ac:dyDescent="0.25">
      <c r="H207" s="91"/>
      <c r="I207" s="91"/>
      <c r="J207" s="97"/>
      <c r="K207" s="79"/>
      <c r="L207" s="79"/>
      <c r="M207" s="79" t="str">
        <f>Table728182243240[[#This Row],[DBA]]&amp;" - "&amp;Table728182243240[[#This Row],[BIN]]&amp;" - "&amp;Table728182243240[[#This Row],[CAID]]</f>
        <v xml:space="preserve"> -  - </v>
      </c>
      <c r="N207" s="90"/>
    </row>
    <row r="208" spans="8:14" x14ac:dyDescent="0.25">
      <c r="H208" s="91"/>
      <c r="I208" s="91"/>
      <c r="J208" s="97"/>
      <c r="K208" s="79"/>
      <c r="L208" s="79"/>
      <c r="M208" s="79" t="str">
        <f>Table728182243240[[#This Row],[DBA]]&amp;" - "&amp;Table728182243240[[#This Row],[BIN]]&amp;" - "&amp;Table728182243240[[#This Row],[CAID]]</f>
        <v xml:space="preserve"> -  - </v>
      </c>
      <c r="N208" s="90"/>
    </row>
    <row r="209" spans="8:14" x14ac:dyDescent="0.25">
      <c r="H209" s="91"/>
      <c r="I209" s="91"/>
      <c r="J209" s="97"/>
      <c r="K209" s="79"/>
      <c r="L209" s="79"/>
      <c r="M209" s="79" t="str">
        <f>Table728182243240[[#This Row],[DBA]]&amp;" - "&amp;Table728182243240[[#This Row],[BIN]]&amp;" - "&amp;Table728182243240[[#This Row],[CAID]]</f>
        <v xml:space="preserve"> -  - </v>
      </c>
      <c r="N209" s="90"/>
    </row>
    <row r="210" spans="8:14" x14ac:dyDescent="0.25">
      <c r="H210" s="91"/>
      <c r="I210" s="91"/>
      <c r="J210" s="97"/>
      <c r="K210" s="79"/>
      <c r="L210" s="79"/>
      <c r="M210" s="79" t="str">
        <f>Table728182243240[[#This Row],[DBA]]&amp;" - "&amp;Table728182243240[[#This Row],[BIN]]&amp;" - "&amp;Table728182243240[[#This Row],[CAID]]</f>
        <v xml:space="preserve"> -  - </v>
      </c>
      <c r="N210" s="90"/>
    </row>
    <row r="211" spans="8:14" x14ac:dyDescent="0.25">
      <c r="H211" s="91"/>
      <c r="I211" s="91"/>
      <c r="J211" s="97"/>
      <c r="K211" s="79"/>
      <c r="L211" s="79"/>
      <c r="M211" s="79" t="str">
        <f>Table728182243240[[#This Row],[DBA]]&amp;" - "&amp;Table728182243240[[#This Row],[BIN]]&amp;" - "&amp;Table728182243240[[#This Row],[CAID]]</f>
        <v xml:space="preserve"> -  - </v>
      </c>
      <c r="N211" s="90"/>
    </row>
    <row r="212" spans="8:14" x14ac:dyDescent="0.25">
      <c r="H212" s="91"/>
      <c r="I212" s="91"/>
      <c r="J212" s="97"/>
      <c r="K212" s="79"/>
      <c r="L212" s="79"/>
      <c r="M212" s="79" t="str">
        <f>Table728182243240[[#This Row],[DBA]]&amp;" - "&amp;Table728182243240[[#This Row],[BIN]]&amp;" - "&amp;Table728182243240[[#This Row],[CAID]]</f>
        <v xml:space="preserve"> -  - </v>
      </c>
      <c r="N212" s="90"/>
    </row>
    <row r="213" spans="8:14" x14ac:dyDescent="0.25">
      <c r="H213" s="91"/>
      <c r="I213" s="91"/>
      <c r="J213" s="97"/>
      <c r="K213" s="79"/>
      <c r="L213" s="79"/>
      <c r="M213" s="79" t="str">
        <f>Table728182243240[[#This Row],[DBA]]&amp;" - "&amp;Table728182243240[[#This Row],[BIN]]&amp;" - "&amp;Table728182243240[[#This Row],[CAID]]</f>
        <v xml:space="preserve"> -  - </v>
      </c>
      <c r="N213" s="90"/>
    </row>
    <row r="214" spans="8:14" x14ac:dyDescent="0.25">
      <c r="H214" s="91"/>
      <c r="I214" s="91"/>
      <c r="J214" s="97"/>
      <c r="K214" s="79"/>
      <c r="L214" s="79"/>
      <c r="M214" s="79" t="str">
        <f>Table728182243240[[#This Row],[DBA]]&amp;" - "&amp;Table728182243240[[#This Row],[BIN]]&amp;" - "&amp;Table728182243240[[#This Row],[CAID]]</f>
        <v xml:space="preserve"> -  - </v>
      </c>
      <c r="N214" s="90"/>
    </row>
    <row r="215" spans="8:14" x14ac:dyDescent="0.25">
      <c r="H215" s="91"/>
      <c r="I215" s="91"/>
      <c r="J215" s="97"/>
      <c r="K215" s="79"/>
      <c r="L215" s="79"/>
      <c r="M215" s="79" t="str">
        <f>Table728182243240[[#This Row],[DBA]]&amp;" - "&amp;Table728182243240[[#This Row],[BIN]]&amp;" - "&amp;Table728182243240[[#This Row],[CAID]]</f>
        <v xml:space="preserve"> -  - </v>
      </c>
      <c r="N215" s="90"/>
    </row>
    <row r="216" spans="8:14" x14ac:dyDescent="0.25">
      <c r="H216" s="91"/>
      <c r="I216" s="91"/>
      <c r="J216" s="97"/>
      <c r="K216" s="79"/>
      <c r="L216" s="79"/>
      <c r="M216" s="79" t="str">
        <f>Table728182243240[[#This Row],[DBA]]&amp;" - "&amp;Table728182243240[[#This Row],[BIN]]&amp;" - "&amp;Table728182243240[[#This Row],[CAID]]</f>
        <v xml:space="preserve"> -  - </v>
      </c>
      <c r="N216" s="90"/>
    </row>
    <row r="217" spans="8:14" x14ac:dyDescent="0.25">
      <c r="H217" s="91"/>
      <c r="I217" s="91"/>
      <c r="J217" s="97"/>
      <c r="K217" s="79"/>
      <c r="L217" s="79"/>
      <c r="M217" s="79" t="str">
        <f>Table728182243240[[#This Row],[DBA]]&amp;" - "&amp;Table728182243240[[#This Row],[BIN]]&amp;" - "&amp;Table728182243240[[#This Row],[CAID]]</f>
        <v xml:space="preserve"> -  - </v>
      </c>
      <c r="N217" s="90"/>
    </row>
    <row r="218" spans="8:14" x14ac:dyDescent="0.25">
      <c r="H218" s="91"/>
      <c r="I218" s="91"/>
      <c r="J218" s="97"/>
      <c r="K218" s="79"/>
      <c r="L218" s="79"/>
      <c r="M218" s="79" t="str">
        <f>Table728182243240[[#This Row],[DBA]]&amp;" - "&amp;Table728182243240[[#This Row],[BIN]]&amp;" - "&amp;Table728182243240[[#This Row],[CAID]]</f>
        <v xml:space="preserve"> -  - </v>
      </c>
      <c r="N218" s="90"/>
    </row>
    <row r="219" spans="8:14" x14ac:dyDescent="0.25">
      <c r="H219" s="91"/>
      <c r="I219" s="91"/>
      <c r="J219" s="97"/>
      <c r="K219" s="79"/>
      <c r="L219" s="79"/>
      <c r="M219" s="79" t="str">
        <f>Table728182243240[[#This Row],[DBA]]&amp;" - "&amp;Table728182243240[[#This Row],[BIN]]&amp;" - "&amp;Table728182243240[[#This Row],[CAID]]</f>
        <v xml:space="preserve"> -  - </v>
      </c>
      <c r="N219" s="90"/>
    </row>
    <row r="220" spans="8:14" x14ac:dyDescent="0.25">
      <c r="H220" s="91"/>
      <c r="I220" s="91"/>
      <c r="J220" s="97"/>
      <c r="K220" s="79"/>
      <c r="L220" s="79"/>
      <c r="M220" s="79" t="str">
        <f>Table728182243240[[#This Row],[DBA]]&amp;" - "&amp;Table728182243240[[#This Row],[BIN]]&amp;" - "&amp;Table728182243240[[#This Row],[CAID]]</f>
        <v xml:space="preserve"> -  - </v>
      </c>
      <c r="N220" s="90"/>
    </row>
    <row r="221" spans="8:14" x14ac:dyDescent="0.25">
      <c r="H221" s="91"/>
      <c r="I221" s="91"/>
      <c r="J221" s="97"/>
      <c r="K221" s="79"/>
      <c r="L221" s="79"/>
      <c r="M221" s="79" t="str">
        <f>Table728182243240[[#This Row],[DBA]]&amp;" - "&amp;Table728182243240[[#This Row],[BIN]]&amp;" - "&amp;Table728182243240[[#This Row],[CAID]]</f>
        <v xml:space="preserve"> -  - </v>
      </c>
      <c r="N221" s="90"/>
    </row>
    <row r="222" spans="8:14" x14ac:dyDescent="0.25">
      <c r="H222" s="91"/>
      <c r="I222" s="91"/>
      <c r="J222" s="97"/>
      <c r="K222" s="79"/>
      <c r="L222" s="79"/>
      <c r="M222" s="79" t="str">
        <f>Table728182243240[[#This Row],[DBA]]&amp;" - "&amp;Table728182243240[[#This Row],[BIN]]&amp;" - "&amp;Table728182243240[[#This Row],[CAID]]</f>
        <v xml:space="preserve"> -  - </v>
      </c>
      <c r="N222" s="90"/>
    </row>
    <row r="223" spans="8:14" x14ac:dyDescent="0.25">
      <c r="H223" s="91"/>
      <c r="I223" s="91"/>
      <c r="J223" s="97"/>
      <c r="K223" s="79"/>
      <c r="L223" s="79"/>
      <c r="M223" s="79" t="str">
        <f>Table728182243240[[#This Row],[DBA]]&amp;" - "&amp;Table728182243240[[#This Row],[BIN]]&amp;" - "&amp;Table728182243240[[#This Row],[CAID]]</f>
        <v xml:space="preserve"> -  - </v>
      </c>
      <c r="N223" s="90"/>
    </row>
    <row r="224" spans="8:14" x14ac:dyDescent="0.25">
      <c r="H224" s="91"/>
      <c r="I224" s="91"/>
      <c r="J224" s="97"/>
      <c r="K224" s="79"/>
      <c r="L224" s="79"/>
      <c r="M224" s="79" t="str">
        <f>Table728182243240[[#This Row],[DBA]]&amp;" - "&amp;Table728182243240[[#This Row],[BIN]]&amp;" - "&amp;Table728182243240[[#This Row],[CAID]]</f>
        <v xml:space="preserve"> -  - </v>
      </c>
      <c r="N224" s="90"/>
    </row>
    <row r="225" spans="8:14" x14ac:dyDescent="0.25">
      <c r="H225" s="91"/>
      <c r="I225" s="91"/>
      <c r="J225" s="97"/>
      <c r="K225" s="79"/>
      <c r="L225" s="79"/>
      <c r="M225" s="79" t="str">
        <f>Table728182243240[[#This Row],[DBA]]&amp;" - "&amp;Table728182243240[[#This Row],[BIN]]&amp;" - "&amp;Table728182243240[[#This Row],[CAID]]</f>
        <v xml:space="preserve"> -  - </v>
      </c>
      <c r="N225" s="90"/>
    </row>
    <row r="226" spans="8:14" x14ac:dyDescent="0.25">
      <c r="H226" s="91"/>
      <c r="I226" s="91"/>
      <c r="J226" s="97"/>
      <c r="K226" s="79"/>
      <c r="L226" s="79"/>
      <c r="M226" s="79" t="str">
        <f>Table728182243240[[#This Row],[DBA]]&amp;" - "&amp;Table728182243240[[#This Row],[BIN]]&amp;" - "&amp;Table728182243240[[#This Row],[CAID]]</f>
        <v xml:space="preserve"> -  - </v>
      </c>
      <c r="N226" s="90"/>
    </row>
    <row r="227" spans="8:14" x14ac:dyDescent="0.25">
      <c r="H227" s="91"/>
      <c r="I227" s="91"/>
      <c r="J227" s="97"/>
      <c r="K227" s="79"/>
      <c r="L227" s="79"/>
      <c r="M227" s="79" t="str">
        <f>Table728182243240[[#This Row],[DBA]]&amp;" - "&amp;Table728182243240[[#This Row],[BIN]]&amp;" - "&amp;Table728182243240[[#This Row],[CAID]]</f>
        <v xml:space="preserve"> -  - </v>
      </c>
      <c r="N227" s="90"/>
    </row>
    <row r="228" spans="8:14" x14ac:dyDescent="0.25">
      <c r="H228" s="91"/>
      <c r="I228" s="91"/>
      <c r="J228" s="97"/>
      <c r="K228" s="79"/>
      <c r="L228" s="79"/>
      <c r="M228" s="79" t="str">
        <f>Table728182243240[[#This Row],[DBA]]&amp;" - "&amp;Table728182243240[[#This Row],[BIN]]&amp;" - "&amp;Table728182243240[[#This Row],[CAID]]</f>
        <v xml:space="preserve"> -  - </v>
      </c>
      <c r="N228" s="90"/>
    </row>
    <row r="229" spans="8:14" x14ac:dyDescent="0.25">
      <c r="H229" s="91"/>
      <c r="I229" s="91"/>
      <c r="J229" s="97"/>
      <c r="K229" s="79"/>
      <c r="L229" s="79"/>
      <c r="M229" s="79" t="str">
        <f>Table728182243240[[#This Row],[DBA]]&amp;" - "&amp;Table728182243240[[#This Row],[BIN]]&amp;" - "&amp;Table728182243240[[#This Row],[CAID]]</f>
        <v xml:space="preserve"> -  - </v>
      </c>
      <c r="N229" s="90"/>
    </row>
    <row r="230" spans="8:14" x14ac:dyDescent="0.25">
      <c r="H230" s="91"/>
      <c r="I230" s="91"/>
      <c r="J230" s="97"/>
      <c r="K230" s="79"/>
      <c r="L230" s="79"/>
      <c r="M230" s="79" t="str">
        <f>Table728182243240[[#This Row],[DBA]]&amp;" - "&amp;Table728182243240[[#This Row],[BIN]]&amp;" - "&amp;Table728182243240[[#This Row],[CAID]]</f>
        <v xml:space="preserve"> -  - </v>
      </c>
      <c r="N230" s="90"/>
    </row>
    <row r="231" spans="8:14" x14ac:dyDescent="0.25">
      <c r="H231" s="91"/>
      <c r="I231" s="91"/>
      <c r="J231" s="97"/>
      <c r="K231" s="79"/>
      <c r="L231" s="79"/>
      <c r="M231" s="79" t="str">
        <f>Table728182243240[[#This Row],[DBA]]&amp;" - "&amp;Table728182243240[[#This Row],[BIN]]&amp;" - "&amp;Table728182243240[[#This Row],[CAID]]</f>
        <v xml:space="preserve"> -  - </v>
      </c>
      <c r="N231" s="90"/>
    </row>
    <row r="232" spans="8:14" x14ac:dyDescent="0.25">
      <c r="H232" s="91"/>
      <c r="I232" s="91"/>
      <c r="J232" s="97"/>
      <c r="K232" s="79"/>
      <c r="L232" s="79"/>
      <c r="M232" s="79" t="str">
        <f>Table728182243240[[#This Row],[DBA]]&amp;" - "&amp;Table728182243240[[#This Row],[BIN]]&amp;" - "&amp;Table728182243240[[#This Row],[CAID]]</f>
        <v xml:space="preserve"> -  - </v>
      </c>
      <c r="N232" s="90"/>
    </row>
    <row r="233" spans="8:14" x14ac:dyDescent="0.25">
      <c r="H233" s="91"/>
      <c r="I233" s="91"/>
      <c r="J233" s="97"/>
      <c r="K233" s="79"/>
      <c r="L233" s="79"/>
      <c r="M233" s="79" t="str">
        <f>Table728182243240[[#This Row],[DBA]]&amp;" - "&amp;Table728182243240[[#This Row],[BIN]]&amp;" - "&amp;Table728182243240[[#This Row],[CAID]]</f>
        <v xml:space="preserve"> -  - </v>
      </c>
      <c r="N233" s="90"/>
    </row>
    <row r="234" spans="8:14" x14ac:dyDescent="0.25">
      <c r="H234" s="91"/>
      <c r="I234" s="91"/>
      <c r="J234" s="97"/>
      <c r="K234" s="79"/>
      <c r="L234" s="79"/>
      <c r="M234" s="79" t="str">
        <f>Table728182243240[[#This Row],[DBA]]&amp;" - "&amp;Table728182243240[[#This Row],[BIN]]&amp;" - "&amp;Table728182243240[[#This Row],[CAID]]</f>
        <v xml:space="preserve"> -  - </v>
      </c>
      <c r="N234" s="90"/>
    </row>
    <row r="235" spans="8:14" x14ac:dyDescent="0.25">
      <c r="H235" s="91"/>
      <c r="I235" s="91"/>
      <c r="J235" s="97"/>
      <c r="K235" s="79"/>
      <c r="L235" s="79"/>
      <c r="M235" s="79" t="str">
        <f>Table728182243240[[#This Row],[DBA]]&amp;" - "&amp;Table728182243240[[#This Row],[BIN]]&amp;" - "&amp;Table728182243240[[#This Row],[CAID]]</f>
        <v xml:space="preserve"> -  - </v>
      </c>
      <c r="N235" s="90"/>
    </row>
    <row r="236" spans="8:14" x14ac:dyDescent="0.25">
      <c r="H236" s="91"/>
      <c r="I236" s="91"/>
      <c r="J236" s="97"/>
      <c r="K236" s="79"/>
      <c r="L236" s="79"/>
      <c r="M236" s="79" t="str">
        <f>Table728182243240[[#This Row],[DBA]]&amp;" - "&amp;Table728182243240[[#This Row],[BIN]]&amp;" - "&amp;Table728182243240[[#This Row],[CAID]]</f>
        <v xml:space="preserve"> -  - </v>
      </c>
      <c r="N236" s="90"/>
    </row>
    <row r="237" spans="8:14" x14ac:dyDescent="0.25">
      <c r="H237" s="91"/>
      <c r="I237" s="91"/>
      <c r="J237" s="97"/>
      <c r="K237" s="79"/>
      <c r="L237" s="79"/>
      <c r="M237" s="79" t="str">
        <f>Table728182243240[[#This Row],[DBA]]&amp;" - "&amp;Table728182243240[[#This Row],[BIN]]&amp;" - "&amp;Table728182243240[[#This Row],[CAID]]</f>
        <v xml:space="preserve"> -  - </v>
      </c>
      <c r="N237" s="90"/>
    </row>
    <row r="238" spans="8:14" x14ac:dyDescent="0.25">
      <c r="H238" s="91"/>
      <c r="I238" s="91"/>
      <c r="J238" s="97"/>
      <c r="K238" s="79"/>
      <c r="L238" s="79"/>
      <c r="M238" s="79" t="str">
        <f>Table728182243240[[#This Row],[DBA]]&amp;" - "&amp;Table728182243240[[#This Row],[BIN]]&amp;" - "&amp;Table728182243240[[#This Row],[CAID]]</f>
        <v xml:space="preserve"> -  - </v>
      </c>
      <c r="N238" s="90"/>
    </row>
    <row r="239" spans="8:14" x14ac:dyDescent="0.25">
      <c r="H239" s="91"/>
      <c r="I239" s="91"/>
      <c r="J239" s="97"/>
      <c r="K239" s="79"/>
      <c r="L239" s="79"/>
      <c r="M239" s="79" t="str">
        <f>Table728182243240[[#This Row],[DBA]]&amp;" - "&amp;Table728182243240[[#This Row],[BIN]]&amp;" - "&amp;Table728182243240[[#This Row],[CAID]]</f>
        <v xml:space="preserve"> -  - </v>
      </c>
      <c r="N239" s="90"/>
    </row>
    <row r="240" spans="8:14" x14ac:dyDescent="0.25">
      <c r="H240" s="91"/>
      <c r="I240" s="91"/>
      <c r="J240" s="97"/>
      <c r="K240" s="79"/>
      <c r="L240" s="79"/>
      <c r="M240" s="79" t="str">
        <f>Table728182243240[[#This Row],[DBA]]&amp;" - "&amp;Table728182243240[[#This Row],[BIN]]&amp;" - "&amp;Table728182243240[[#This Row],[CAID]]</f>
        <v xml:space="preserve"> -  - </v>
      </c>
      <c r="N240" s="90"/>
    </row>
    <row r="241" spans="8:14" x14ac:dyDescent="0.25">
      <c r="H241" s="91"/>
      <c r="I241" s="91"/>
      <c r="J241" s="97"/>
      <c r="K241" s="79"/>
      <c r="L241" s="79"/>
      <c r="M241" s="79" t="str">
        <f>Table728182243240[[#This Row],[DBA]]&amp;" - "&amp;Table728182243240[[#This Row],[BIN]]&amp;" - "&amp;Table728182243240[[#This Row],[CAID]]</f>
        <v xml:space="preserve"> -  - </v>
      </c>
      <c r="N241" s="90"/>
    </row>
    <row r="242" spans="8:14" x14ac:dyDescent="0.25">
      <c r="H242" s="91"/>
      <c r="I242" s="91"/>
      <c r="J242" s="97"/>
      <c r="K242" s="79"/>
      <c r="L242" s="79"/>
      <c r="M242" s="79" t="str">
        <f>Table728182243240[[#This Row],[DBA]]&amp;" - "&amp;Table728182243240[[#This Row],[BIN]]&amp;" - "&amp;Table728182243240[[#This Row],[CAID]]</f>
        <v xml:space="preserve"> -  - </v>
      </c>
      <c r="N242" s="90"/>
    </row>
    <row r="243" spans="8:14" x14ac:dyDescent="0.25">
      <c r="H243" s="91"/>
      <c r="I243" s="91"/>
      <c r="J243" s="97"/>
      <c r="K243" s="79"/>
      <c r="L243" s="79"/>
      <c r="M243" s="79" t="str">
        <f>Table728182243240[[#This Row],[DBA]]&amp;" - "&amp;Table728182243240[[#This Row],[BIN]]&amp;" - "&amp;Table728182243240[[#This Row],[CAID]]</f>
        <v xml:space="preserve"> -  - </v>
      </c>
      <c r="N243" s="90"/>
    </row>
    <row r="244" spans="8:14" x14ac:dyDescent="0.25">
      <c r="H244" s="91"/>
      <c r="I244" s="91"/>
      <c r="J244" s="97"/>
      <c r="K244" s="79"/>
      <c r="L244" s="79"/>
      <c r="M244" s="79" t="str">
        <f>Table728182243240[[#This Row],[DBA]]&amp;" - "&amp;Table728182243240[[#This Row],[BIN]]&amp;" - "&amp;Table728182243240[[#This Row],[CAID]]</f>
        <v xml:space="preserve"> -  - </v>
      </c>
      <c r="N244" s="90"/>
    </row>
    <row r="245" spans="8:14" x14ac:dyDescent="0.25">
      <c r="H245" s="91"/>
      <c r="I245" s="91"/>
      <c r="J245" s="97"/>
      <c r="K245" s="79"/>
      <c r="L245" s="79"/>
      <c r="M245" s="79" t="str">
        <f>Table728182243240[[#This Row],[DBA]]&amp;" - "&amp;Table728182243240[[#This Row],[BIN]]&amp;" - "&amp;Table728182243240[[#This Row],[CAID]]</f>
        <v xml:space="preserve"> -  - </v>
      </c>
      <c r="N245" s="90"/>
    </row>
    <row r="246" spans="8:14" x14ac:dyDescent="0.25">
      <c r="H246" s="91"/>
      <c r="I246" s="91"/>
      <c r="J246" s="97"/>
      <c r="K246" s="79"/>
      <c r="L246" s="79"/>
      <c r="M246" s="79" t="str">
        <f>Table728182243240[[#This Row],[DBA]]&amp;" - "&amp;Table728182243240[[#This Row],[BIN]]&amp;" - "&amp;Table728182243240[[#This Row],[CAID]]</f>
        <v xml:space="preserve"> -  - </v>
      </c>
      <c r="N246" s="90"/>
    </row>
    <row r="247" spans="8:14" x14ac:dyDescent="0.25">
      <c r="H247" s="91"/>
      <c r="I247" s="91"/>
      <c r="J247" s="97"/>
      <c r="K247" s="79"/>
      <c r="L247" s="79"/>
      <c r="M247" s="79" t="str">
        <f>Table728182243240[[#This Row],[DBA]]&amp;" - "&amp;Table728182243240[[#This Row],[BIN]]&amp;" - "&amp;Table728182243240[[#This Row],[CAID]]</f>
        <v xml:space="preserve"> -  - </v>
      </c>
      <c r="N247" s="90"/>
    </row>
    <row r="248" spans="8:14" x14ac:dyDescent="0.25">
      <c r="H248" s="91"/>
      <c r="I248" s="91"/>
      <c r="J248" s="97"/>
      <c r="K248" s="79"/>
      <c r="L248" s="79"/>
      <c r="M248" s="79" t="str">
        <f>Table728182243240[[#This Row],[DBA]]&amp;" - "&amp;Table728182243240[[#This Row],[BIN]]&amp;" - "&amp;Table728182243240[[#This Row],[CAID]]</f>
        <v xml:space="preserve"> -  - </v>
      </c>
      <c r="N248" s="90"/>
    </row>
    <row r="249" spans="8:14" x14ac:dyDescent="0.25">
      <c r="H249" s="91"/>
      <c r="I249" s="91"/>
      <c r="J249" s="97"/>
      <c r="K249" s="79"/>
      <c r="L249" s="79"/>
      <c r="M249" s="79" t="str">
        <f>Table728182243240[[#This Row],[DBA]]&amp;" - "&amp;Table728182243240[[#This Row],[BIN]]&amp;" - "&amp;Table728182243240[[#This Row],[CAID]]</f>
        <v xml:space="preserve"> -  - </v>
      </c>
      <c r="N249" s="90"/>
    </row>
    <row r="250" spans="8:14" x14ac:dyDescent="0.25">
      <c r="H250" s="91"/>
      <c r="I250" s="91"/>
      <c r="J250" s="97"/>
      <c r="K250" s="79"/>
      <c r="L250" s="79"/>
      <c r="M250" s="79" t="str">
        <f>Table728182243240[[#This Row],[DBA]]&amp;" - "&amp;Table728182243240[[#This Row],[BIN]]&amp;" - "&amp;Table728182243240[[#This Row],[CAID]]</f>
        <v xml:space="preserve"> -  - </v>
      </c>
      <c r="N250" s="90"/>
    </row>
    <row r="251" spans="8:14" x14ac:dyDescent="0.25">
      <c r="H251" s="91"/>
      <c r="I251" s="91"/>
      <c r="J251" s="97"/>
      <c r="K251" s="79"/>
      <c r="L251" s="79"/>
      <c r="M251" s="79" t="str">
        <f>Table728182243240[[#This Row],[DBA]]&amp;" - "&amp;Table728182243240[[#This Row],[BIN]]&amp;" - "&amp;Table728182243240[[#This Row],[CAID]]</f>
        <v xml:space="preserve"> -  - </v>
      </c>
      <c r="N251" s="90"/>
    </row>
    <row r="252" spans="8:14" x14ac:dyDescent="0.25">
      <c r="H252" s="91"/>
      <c r="I252" s="91"/>
      <c r="J252" s="97"/>
      <c r="K252" s="79"/>
      <c r="L252" s="79"/>
      <c r="M252" s="79" t="str">
        <f>Table728182243240[[#This Row],[DBA]]&amp;" - "&amp;Table728182243240[[#This Row],[BIN]]&amp;" - "&amp;Table728182243240[[#This Row],[CAID]]</f>
        <v xml:space="preserve"> -  - </v>
      </c>
      <c r="N252" s="90"/>
    </row>
    <row r="253" spans="8:14" x14ac:dyDescent="0.25">
      <c r="H253" s="91"/>
      <c r="I253" s="91"/>
      <c r="J253" s="97"/>
      <c r="K253" s="79"/>
      <c r="L253" s="79"/>
      <c r="M253" s="79" t="str">
        <f>Table728182243240[[#This Row],[DBA]]&amp;" - "&amp;Table728182243240[[#This Row],[BIN]]&amp;" - "&amp;Table728182243240[[#This Row],[CAID]]</f>
        <v xml:space="preserve"> -  - </v>
      </c>
      <c r="N253" s="90"/>
    </row>
    <row r="254" spans="8:14" x14ac:dyDescent="0.25">
      <c r="H254" s="91"/>
      <c r="I254" s="91"/>
      <c r="J254" s="97"/>
      <c r="K254" s="79"/>
      <c r="L254" s="79"/>
      <c r="M254" s="79" t="str">
        <f>Table728182243240[[#This Row],[DBA]]&amp;" - "&amp;Table728182243240[[#This Row],[BIN]]&amp;" - "&amp;Table728182243240[[#This Row],[CAID]]</f>
        <v xml:space="preserve"> -  - </v>
      </c>
      <c r="N254" s="90"/>
    </row>
    <row r="255" spans="8:14" x14ac:dyDescent="0.25">
      <c r="H255" s="91"/>
      <c r="I255" s="91"/>
      <c r="J255" s="97"/>
      <c r="K255" s="79"/>
      <c r="L255" s="79"/>
      <c r="M255" s="79" t="str">
        <f>Table728182243240[[#This Row],[DBA]]&amp;" - "&amp;Table728182243240[[#This Row],[BIN]]&amp;" - "&amp;Table728182243240[[#This Row],[CAID]]</f>
        <v xml:space="preserve"> -  - </v>
      </c>
      <c r="N255" s="90"/>
    </row>
    <row r="256" spans="8:14" x14ac:dyDescent="0.25">
      <c r="H256" s="91"/>
      <c r="I256" s="91"/>
      <c r="J256" s="97"/>
      <c r="K256" s="79"/>
      <c r="L256" s="79"/>
      <c r="M256" s="79" t="str">
        <f>Table728182243240[[#This Row],[DBA]]&amp;" - "&amp;Table728182243240[[#This Row],[BIN]]&amp;" - "&amp;Table728182243240[[#This Row],[CAID]]</f>
        <v xml:space="preserve"> -  - </v>
      </c>
      <c r="N256" s="90"/>
    </row>
    <row r="257" spans="8:14" x14ac:dyDescent="0.25">
      <c r="H257" s="91"/>
      <c r="I257" s="91"/>
      <c r="J257" s="97"/>
      <c r="K257" s="79"/>
      <c r="L257" s="79"/>
      <c r="M257" s="79" t="str">
        <f>Table728182243240[[#This Row],[DBA]]&amp;" - "&amp;Table728182243240[[#This Row],[BIN]]&amp;" - "&amp;Table728182243240[[#This Row],[CAID]]</f>
        <v xml:space="preserve"> -  - </v>
      </c>
      <c r="N257" s="90"/>
    </row>
    <row r="258" spans="8:14" x14ac:dyDescent="0.25">
      <c r="H258" s="91"/>
      <c r="I258" s="91"/>
      <c r="J258" s="97"/>
      <c r="K258" s="79"/>
      <c r="L258" s="79"/>
      <c r="M258" s="79" t="str">
        <f>Table728182243240[[#This Row],[DBA]]&amp;" - "&amp;Table728182243240[[#This Row],[BIN]]&amp;" - "&amp;Table728182243240[[#This Row],[CAID]]</f>
        <v xml:space="preserve"> -  - </v>
      </c>
      <c r="N258" s="90"/>
    </row>
    <row r="259" spans="8:14" x14ac:dyDescent="0.25">
      <c r="H259" s="91"/>
      <c r="I259" s="91"/>
      <c r="J259" s="97"/>
      <c r="K259" s="79"/>
      <c r="L259" s="79"/>
      <c r="M259" s="79" t="str">
        <f>Table728182243240[[#This Row],[DBA]]&amp;" - "&amp;Table728182243240[[#This Row],[BIN]]&amp;" - "&amp;Table728182243240[[#This Row],[CAID]]</f>
        <v xml:space="preserve"> -  - </v>
      </c>
      <c r="N259" s="90"/>
    </row>
    <row r="260" spans="8:14" x14ac:dyDescent="0.25">
      <c r="H260" s="91"/>
      <c r="I260" s="91"/>
      <c r="J260" s="97"/>
      <c r="K260" s="79"/>
      <c r="L260" s="79"/>
      <c r="M260" s="79" t="str">
        <f>Table728182243240[[#This Row],[DBA]]&amp;" - "&amp;Table728182243240[[#This Row],[BIN]]&amp;" - "&amp;Table728182243240[[#This Row],[CAID]]</f>
        <v xml:space="preserve"> -  - </v>
      </c>
      <c r="N260" s="90"/>
    </row>
    <row r="261" spans="8:14" x14ac:dyDescent="0.25">
      <c r="H261" s="91"/>
      <c r="I261" s="91"/>
      <c r="J261" s="97"/>
      <c r="K261" s="79"/>
      <c r="L261" s="79"/>
      <c r="M261" s="79" t="str">
        <f>Table728182243240[[#This Row],[DBA]]&amp;" - "&amp;Table728182243240[[#This Row],[BIN]]&amp;" - "&amp;Table728182243240[[#This Row],[CAID]]</f>
        <v xml:space="preserve"> -  - </v>
      </c>
      <c r="N261" s="90"/>
    </row>
    <row r="262" spans="8:14" x14ac:dyDescent="0.25">
      <c r="H262" s="91"/>
      <c r="I262" s="91"/>
      <c r="J262" s="97"/>
      <c r="K262" s="79"/>
      <c r="L262" s="79"/>
      <c r="M262" s="79" t="str">
        <f>Table728182243240[[#This Row],[DBA]]&amp;" - "&amp;Table728182243240[[#This Row],[BIN]]&amp;" - "&amp;Table728182243240[[#This Row],[CAID]]</f>
        <v xml:space="preserve"> -  - </v>
      </c>
      <c r="N262" s="90"/>
    </row>
    <row r="263" spans="8:14" x14ac:dyDescent="0.25">
      <c r="H263" s="91"/>
      <c r="I263" s="91"/>
      <c r="J263" s="97"/>
      <c r="K263" s="79"/>
      <c r="L263" s="79"/>
      <c r="M263" s="79" t="str">
        <f>Table728182243240[[#This Row],[DBA]]&amp;" - "&amp;Table728182243240[[#This Row],[BIN]]&amp;" - "&amp;Table728182243240[[#This Row],[CAID]]</f>
        <v xml:space="preserve"> -  - </v>
      </c>
      <c r="N263" s="90"/>
    </row>
    <row r="264" spans="8:14" x14ac:dyDescent="0.25">
      <c r="H264" s="91"/>
      <c r="I264" s="91"/>
      <c r="J264" s="97"/>
      <c r="K264" s="79"/>
      <c r="L264" s="79"/>
      <c r="M264" s="79" t="str">
        <f>Table728182243240[[#This Row],[DBA]]&amp;" - "&amp;Table728182243240[[#This Row],[BIN]]&amp;" - "&amp;Table728182243240[[#This Row],[CAID]]</f>
        <v xml:space="preserve"> -  - </v>
      </c>
      <c r="N264" s="90"/>
    </row>
    <row r="265" spans="8:14" x14ac:dyDescent="0.25">
      <c r="H265" s="91"/>
      <c r="I265" s="91"/>
      <c r="J265" s="97"/>
      <c r="K265" s="79"/>
      <c r="L265" s="79"/>
      <c r="M265" s="79" t="str">
        <f>Table728182243240[[#This Row],[DBA]]&amp;" - "&amp;Table728182243240[[#This Row],[BIN]]&amp;" - "&amp;Table728182243240[[#This Row],[CAID]]</f>
        <v xml:space="preserve"> -  - </v>
      </c>
      <c r="N265" s="90"/>
    </row>
    <row r="266" spans="8:14" x14ac:dyDescent="0.25">
      <c r="H266" s="91"/>
      <c r="I266" s="91"/>
      <c r="J266" s="97"/>
      <c r="K266" s="79"/>
      <c r="L266" s="79"/>
      <c r="M266" s="79" t="str">
        <f>Table728182243240[[#This Row],[DBA]]&amp;" - "&amp;Table728182243240[[#This Row],[BIN]]&amp;" - "&amp;Table728182243240[[#This Row],[CAID]]</f>
        <v xml:space="preserve"> -  - </v>
      </c>
      <c r="N266" s="90"/>
    </row>
    <row r="267" spans="8:14" x14ac:dyDescent="0.25">
      <c r="H267" s="91"/>
      <c r="I267" s="91"/>
      <c r="J267" s="97"/>
      <c r="K267" s="79"/>
      <c r="L267" s="79"/>
      <c r="M267" s="79" t="str">
        <f>Table728182243240[[#This Row],[DBA]]&amp;" - "&amp;Table728182243240[[#This Row],[BIN]]&amp;" - "&amp;Table728182243240[[#This Row],[CAID]]</f>
        <v xml:space="preserve"> -  - </v>
      </c>
      <c r="N267" s="90"/>
    </row>
    <row r="268" spans="8:14" x14ac:dyDescent="0.25">
      <c r="H268" s="91"/>
      <c r="I268" s="91"/>
      <c r="J268" s="97"/>
      <c r="K268" s="79"/>
      <c r="L268" s="79"/>
      <c r="M268" s="79" t="str">
        <f>Table728182243240[[#This Row],[DBA]]&amp;" - "&amp;Table728182243240[[#This Row],[BIN]]&amp;" - "&amp;Table728182243240[[#This Row],[CAID]]</f>
        <v xml:space="preserve"> -  - </v>
      </c>
      <c r="N268" s="90"/>
    </row>
    <row r="269" spans="8:14" x14ac:dyDescent="0.25">
      <c r="H269" s="91"/>
      <c r="I269" s="91"/>
      <c r="J269" s="97"/>
      <c r="K269" s="79"/>
      <c r="L269" s="79"/>
      <c r="M269" s="79" t="str">
        <f>Table728182243240[[#This Row],[DBA]]&amp;" - "&amp;Table728182243240[[#This Row],[BIN]]&amp;" - "&amp;Table728182243240[[#This Row],[CAID]]</f>
        <v xml:space="preserve"> -  - </v>
      </c>
      <c r="N269" s="90"/>
    </row>
    <row r="270" spans="8:14" x14ac:dyDescent="0.25">
      <c r="H270" s="91"/>
      <c r="I270" s="91"/>
      <c r="J270" s="97"/>
      <c r="K270" s="79"/>
      <c r="L270" s="79"/>
      <c r="M270" s="79" t="str">
        <f>Table728182243240[[#This Row],[DBA]]&amp;" - "&amp;Table728182243240[[#This Row],[BIN]]&amp;" - "&amp;Table728182243240[[#This Row],[CAID]]</f>
        <v xml:space="preserve"> -  - </v>
      </c>
      <c r="N270" s="90"/>
    </row>
    <row r="271" spans="8:14" x14ac:dyDescent="0.25">
      <c r="H271" s="91"/>
      <c r="I271" s="91"/>
      <c r="J271" s="97"/>
      <c r="K271" s="79"/>
      <c r="L271" s="79"/>
      <c r="M271" s="79" t="str">
        <f>Table728182243240[[#This Row],[DBA]]&amp;" - "&amp;Table728182243240[[#This Row],[BIN]]&amp;" - "&amp;Table728182243240[[#This Row],[CAID]]</f>
        <v xml:space="preserve"> -  - </v>
      </c>
      <c r="N271" s="90"/>
    </row>
    <row r="272" spans="8:14" x14ac:dyDescent="0.25">
      <c r="H272" s="91"/>
      <c r="I272" s="91"/>
      <c r="J272" s="97"/>
      <c r="K272" s="79"/>
      <c r="L272" s="79"/>
      <c r="M272" s="79" t="str">
        <f>Table728182243240[[#This Row],[DBA]]&amp;" - "&amp;Table728182243240[[#This Row],[BIN]]&amp;" - "&amp;Table728182243240[[#This Row],[CAID]]</f>
        <v xml:space="preserve"> -  - </v>
      </c>
      <c r="N272" s="90"/>
    </row>
    <row r="273" spans="8:14" x14ac:dyDescent="0.25">
      <c r="H273" s="91"/>
      <c r="I273" s="91"/>
      <c r="J273" s="97"/>
      <c r="K273" s="79"/>
      <c r="L273" s="79"/>
      <c r="M273" s="79" t="str">
        <f>Table728182243240[[#This Row],[DBA]]&amp;" - "&amp;Table728182243240[[#This Row],[BIN]]&amp;" - "&amp;Table728182243240[[#This Row],[CAID]]</f>
        <v xml:space="preserve"> -  - </v>
      </c>
      <c r="N273" s="90"/>
    </row>
    <row r="274" spans="8:14" x14ac:dyDescent="0.25">
      <c r="H274" s="91"/>
      <c r="I274" s="91"/>
      <c r="J274" s="97"/>
      <c r="K274" s="79"/>
      <c r="L274" s="79"/>
      <c r="M274" s="79" t="str">
        <f>Table728182243240[[#This Row],[DBA]]&amp;" - "&amp;Table728182243240[[#This Row],[BIN]]&amp;" - "&amp;Table728182243240[[#This Row],[CAID]]</f>
        <v xml:space="preserve"> -  - </v>
      </c>
      <c r="N274" s="90"/>
    </row>
    <row r="275" spans="8:14" x14ac:dyDescent="0.25">
      <c r="H275" s="91"/>
      <c r="I275" s="91"/>
      <c r="J275" s="97"/>
      <c r="K275" s="79"/>
      <c r="L275" s="79"/>
      <c r="M275" s="79" t="str">
        <f>Table728182243240[[#This Row],[DBA]]&amp;" - "&amp;Table728182243240[[#This Row],[BIN]]&amp;" - "&amp;Table728182243240[[#This Row],[CAID]]</f>
        <v xml:space="preserve"> -  - </v>
      </c>
      <c r="N275" s="90"/>
    </row>
    <row r="276" spans="8:14" x14ac:dyDescent="0.25">
      <c r="H276" s="91"/>
      <c r="I276" s="91"/>
      <c r="J276" s="97"/>
      <c r="K276" s="79"/>
      <c r="L276" s="79"/>
      <c r="M276" s="79" t="str">
        <f>Table728182243240[[#This Row],[DBA]]&amp;" - "&amp;Table728182243240[[#This Row],[BIN]]&amp;" - "&amp;Table728182243240[[#This Row],[CAID]]</f>
        <v xml:space="preserve"> -  - </v>
      </c>
      <c r="N276" s="90"/>
    </row>
    <row r="277" spans="8:14" x14ac:dyDescent="0.25">
      <c r="H277" s="91"/>
      <c r="I277" s="91"/>
      <c r="J277" s="97"/>
      <c r="K277" s="79"/>
      <c r="L277" s="79"/>
      <c r="M277" s="79" t="str">
        <f>Table728182243240[[#This Row],[DBA]]&amp;" - "&amp;Table728182243240[[#This Row],[BIN]]&amp;" - "&amp;Table728182243240[[#This Row],[CAID]]</f>
        <v xml:space="preserve"> -  - </v>
      </c>
      <c r="N277" s="90"/>
    </row>
    <row r="278" spans="8:14" x14ac:dyDescent="0.25">
      <c r="H278" s="91"/>
      <c r="I278" s="91"/>
      <c r="J278" s="97"/>
      <c r="K278" s="79"/>
      <c r="L278" s="79"/>
      <c r="M278" s="79" t="str">
        <f>Table728182243240[[#This Row],[DBA]]&amp;" - "&amp;Table728182243240[[#This Row],[BIN]]&amp;" - "&amp;Table728182243240[[#This Row],[CAID]]</f>
        <v xml:space="preserve"> -  - </v>
      </c>
      <c r="N278" s="90"/>
    </row>
    <row r="279" spans="8:14" x14ac:dyDescent="0.25">
      <c r="H279" s="91"/>
      <c r="I279" s="91"/>
      <c r="J279" s="97"/>
      <c r="K279" s="79"/>
      <c r="L279" s="79"/>
      <c r="M279" s="79" t="str">
        <f>Table728182243240[[#This Row],[DBA]]&amp;" - "&amp;Table728182243240[[#This Row],[BIN]]&amp;" - "&amp;Table728182243240[[#This Row],[CAID]]</f>
        <v xml:space="preserve"> -  - </v>
      </c>
      <c r="N279" s="90"/>
    </row>
    <row r="280" spans="8:14" x14ac:dyDescent="0.25">
      <c r="H280" s="91"/>
      <c r="I280" s="91"/>
      <c r="J280" s="97"/>
      <c r="K280" s="79"/>
      <c r="L280" s="79"/>
      <c r="M280" s="79" t="str">
        <f>Table728182243240[[#This Row],[DBA]]&amp;" - "&amp;Table728182243240[[#This Row],[BIN]]&amp;" - "&amp;Table728182243240[[#This Row],[CAID]]</f>
        <v xml:space="preserve"> -  - </v>
      </c>
      <c r="N280" s="90"/>
    </row>
    <row r="281" spans="8:14" x14ac:dyDescent="0.25">
      <c r="H281" s="91"/>
      <c r="I281" s="91"/>
      <c r="J281" s="97"/>
      <c r="K281" s="79"/>
      <c r="L281" s="79"/>
      <c r="M281" s="79" t="str">
        <f>Table728182243240[[#This Row],[DBA]]&amp;" - "&amp;Table728182243240[[#This Row],[BIN]]&amp;" - "&amp;Table728182243240[[#This Row],[CAID]]</f>
        <v xml:space="preserve"> -  - </v>
      </c>
      <c r="N281" s="90"/>
    </row>
    <row r="282" spans="8:14" x14ac:dyDescent="0.25">
      <c r="H282" s="91"/>
      <c r="I282" s="91"/>
      <c r="J282" s="97"/>
      <c r="K282" s="79"/>
      <c r="L282" s="79"/>
      <c r="M282" s="79" t="str">
        <f>Table728182243240[[#This Row],[DBA]]&amp;" - "&amp;Table728182243240[[#This Row],[BIN]]&amp;" - "&amp;Table728182243240[[#This Row],[CAID]]</f>
        <v xml:space="preserve"> -  - </v>
      </c>
      <c r="N282" s="90"/>
    </row>
    <row r="283" spans="8:14" x14ac:dyDescent="0.25">
      <c r="H283" s="91"/>
      <c r="I283" s="91"/>
      <c r="J283" s="97"/>
      <c r="K283" s="79"/>
      <c r="L283" s="79"/>
      <c r="M283" s="79" t="str">
        <f>Table728182243240[[#This Row],[DBA]]&amp;" - "&amp;Table728182243240[[#This Row],[BIN]]&amp;" - "&amp;Table728182243240[[#This Row],[CAID]]</f>
        <v xml:space="preserve"> -  - </v>
      </c>
      <c r="N283" s="90"/>
    </row>
    <row r="284" spans="8:14" x14ac:dyDescent="0.25">
      <c r="H284" s="91"/>
      <c r="I284" s="91"/>
      <c r="J284" s="97"/>
      <c r="K284" s="79"/>
      <c r="L284" s="79"/>
      <c r="M284" s="79" t="str">
        <f>Table728182243240[[#This Row],[DBA]]&amp;" - "&amp;Table728182243240[[#This Row],[BIN]]&amp;" - "&amp;Table728182243240[[#This Row],[CAID]]</f>
        <v xml:space="preserve"> -  - </v>
      </c>
      <c r="N284" s="90"/>
    </row>
    <row r="285" spans="8:14" x14ac:dyDescent="0.25">
      <c r="H285" s="91"/>
      <c r="I285" s="91"/>
      <c r="J285" s="97"/>
      <c r="K285" s="79"/>
      <c r="L285" s="79"/>
      <c r="M285" s="79" t="str">
        <f>Table728182243240[[#This Row],[DBA]]&amp;" - "&amp;Table728182243240[[#This Row],[BIN]]&amp;" - "&amp;Table728182243240[[#This Row],[CAID]]</f>
        <v xml:space="preserve"> -  - </v>
      </c>
      <c r="N285" s="90"/>
    </row>
    <row r="286" spans="8:14" x14ac:dyDescent="0.25">
      <c r="H286" s="91"/>
      <c r="I286" s="91"/>
      <c r="J286" s="97"/>
      <c r="K286" s="79"/>
      <c r="L286" s="79"/>
      <c r="M286" s="79" t="str">
        <f>Table728182243240[[#This Row],[DBA]]&amp;" - "&amp;Table728182243240[[#This Row],[BIN]]&amp;" - "&amp;Table728182243240[[#This Row],[CAID]]</f>
        <v xml:space="preserve"> -  - </v>
      </c>
      <c r="N286" s="90"/>
    </row>
    <row r="287" spans="8:14" x14ac:dyDescent="0.25">
      <c r="H287" s="91"/>
      <c r="I287" s="91"/>
      <c r="J287" s="97"/>
      <c r="K287" s="79"/>
      <c r="L287" s="79"/>
      <c r="M287" s="79" t="str">
        <f>Table728182243240[[#This Row],[DBA]]&amp;" - "&amp;Table728182243240[[#This Row],[BIN]]&amp;" - "&amp;Table728182243240[[#This Row],[CAID]]</f>
        <v xml:space="preserve"> -  - </v>
      </c>
      <c r="N287" s="90"/>
    </row>
    <row r="288" spans="8:14" x14ac:dyDescent="0.25">
      <c r="H288" s="91"/>
      <c r="I288" s="91"/>
      <c r="J288" s="97"/>
      <c r="K288" s="79"/>
      <c r="L288" s="79"/>
      <c r="M288" s="79" t="str">
        <f>Table728182243240[[#This Row],[DBA]]&amp;" - "&amp;Table728182243240[[#This Row],[BIN]]&amp;" - "&amp;Table728182243240[[#This Row],[CAID]]</f>
        <v xml:space="preserve"> -  - </v>
      </c>
      <c r="N288" s="90"/>
    </row>
    <row r="289" spans="8:14" x14ac:dyDescent="0.25">
      <c r="H289" s="91"/>
      <c r="I289" s="91"/>
      <c r="J289" s="97"/>
      <c r="K289" s="79"/>
      <c r="L289" s="79"/>
      <c r="M289" s="79" t="str">
        <f>Table728182243240[[#This Row],[DBA]]&amp;" - "&amp;Table728182243240[[#This Row],[BIN]]&amp;" - "&amp;Table728182243240[[#This Row],[CAID]]</f>
        <v xml:space="preserve"> -  - </v>
      </c>
      <c r="N289" s="90"/>
    </row>
    <row r="290" spans="8:14" x14ac:dyDescent="0.25">
      <c r="H290" s="91"/>
      <c r="I290" s="91"/>
      <c r="J290" s="97"/>
      <c r="K290" s="79"/>
      <c r="L290" s="79"/>
      <c r="M290" s="79" t="str">
        <f>Table728182243240[[#This Row],[DBA]]&amp;" - "&amp;Table728182243240[[#This Row],[BIN]]&amp;" - "&amp;Table728182243240[[#This Row],[CAID]]</f>
        <v xml:space="preserve"> -  - </v>
      </c>
      <c r="N290" s="90"/>
    </row>
    <row r="291" spans="8:14" x14ac:dyDescent="0.25">
      <c r="H291" s="91"/>
      <c r="I291" s="91"/>
      <c r="J291" s="97"/>
      <c r="K291" s="79"/>
      <c r="L291" s="79"/>
      <c r="M291" s="79" t="str">
        <f>Table728182243240[[#This Row],[DBA]]&amp;" - "&amp;Table728182243240[[#This Row],[BIN]]&amp;" - "&amp;Table728182243240[[#This Row],[CAID]]</f>
        <v xml:space="preserve"> -  - </v>
      </c>
      <c r="N291" s="90"/>
    </row>
    <row r="292" spans="8:14" x14ac:dyDescent="0.25">
      <c r="H292" s="91"/>
      <c r="I292" s="91"/>
      <c r="J292" s="97"/>
      <c r="K292" s="79"/>
      <c r="L292" s="79"/>
      <c r="M292" s="79" t="str">
        <f>Table728182243240[[#This Row],[DBA]]&amp;" - "&amp;Table728182243240[[#This Row],[BIN]]&amp;" - "&amp;Table728182243240[[#This Row],[CAID]]</f>
        <v xml:space="preserve"> -  - </v>
      </c>
      <c r="N292" s="90"/>
    </row>
    <row r="293" spans="8:14" x14ac:dyDescent="0.25">
      <c r="H293" s="91"/>
      <c r="I293" s="91"/>
      <c r="J293" s="97"/>
      <c r="K293" s="79"/>
      <c r="L293" s="79"/>
      <c r="M293" s="79" t="str">
        <f>Table728182243240[[#This Row],[DBA]]&amp;" - "&amp;Table728182243240[[#This Row],[BIN]]&amp;" - "&amp;Table728182243240[[#This Row],[CAID]]</f>
        <v xml:space="preserve"> -  - </v>
      </c>
      <c r="N293" s="90"/>
    </row>
    <row r="294" spans="8:14" x14ac:dyDescent="0.25">
      <c r="H294" s="91"/>
      <c r="I294" s="91"/>
      <c r="J294" s="97"/>
      <c r="K294" s="79"/>
      <c r="L294" s="79"/>
      <c r="M294" s="79" t="str">
        <f>Table728182243240[[#This Row],[DBA]]&amp;" - "&amp;Table728182243240[[#This Row],[BIN]]&amp;" - "&amp;Table728182243240[[#This Row],[CAID]]</f>
        <v xml:space="preserve"> -  - </v>
      </c>
      <c r="N294" s="90"/>
    </row>
    <row r="295" spans="8:14" x14ac:dyDescent="0.25">
      <c r="H295" s="91"/>
      <c r="I295" s="91"/>
      <c r="J295" s="97"/>
      <c r="K295" s="79"/>
      <c r="L295" s="79"/>
      <c r="M295" s="79" t="str">
        <f>Table728182243240[[#This Row],[DBA]]&amp;" - "&amp;Table728182243240[[#This Row],[BIN]]&amp;" - "&amp;Table728182243240[[#This Row],[CAID]]</f>
        <v xml:space="preserve"> -  - </v>
      </c>
      <c r="N295" s="90"/>
    </row>
    <row r="296" spans="8:14" x14ac:dyDescent="0.25">
      <c r="H296" s="91"/>
      <c r="I296" s="91"/>
      <c r="J296" s="97"/>
      <c r="K296" s="79"/>
      <c r="L296" s="79"/>
      <c r="M296" s="79" t="str">
        <f>Table728182243240[[#This Row],[DBA]]&amp;" - "&amp;Table728182243240[[#This Row],[BIN]]&amp;" - "&amp;Table728182243240[[#This Row],[CAID]]</f>
        <v xml:space="preserve"> -  - </v>
      </c>
      <c r="N296" s="90"/>
    </row>
    <row r="297" spans="8:14" x14ac:dyDescent="0.25">
      <c r="H297" s="91"/>
      <c r="I297" s="91"/>
      <c r="J297" s="97"/>
      <c r="K297" s="79"/>
      <c r="L297" s="79"/>
      <c r="M297" s="79" t="str">
        <f>Table728182243240[[#This Row],[DBA]]&amp;" - "&amp;Table728182243240[[#This Row],[BIN]]&amp;" - "&amp;Table728182243240[[#This Row],[CAID]]</f>
        <v xml:space="preserve"> -  - </v>
      </c>
      <c r="N297" s="90"/>
    </row>
    <row r="298" spans="8:14" x14ac:dyDescent="0.25">
      <c r="H298" s="91"/>
      <c r="I298" s="91"/>
      <c r="J298" s="97"/>
      <c r="K298" s="79"/>
      <c r="L298" s="79"/>
      <c r="M298" s="79" t="str">
        <f>Table728182243240[[#This Row],[DBA]]&amp;" - "&amp;Table728182243240[[#This Row],[BIN]]&amp;" - "&amp;Table728182243240[[#This Row],[CAID]]</f>
        <v xml:space="preserve"> -  - </v>
      </c>
      <c r="N298" s="90"/>
    </row>
    <row r="299" spans="8:14" x14ac:dyDescent="0.25">
      <c r="H299" s="91"/>
      <c r="I299" s="91"/>
      <c r="J299" s="97"/>
      <c r="K299" s="79"/>
      <c r="L299" s="79"/>
      <c r="M299" s="79" t="str">
        <f>Table728182243240[[#This Row],[DBA]]&amp;" - "&amp;Table728182243240[[#This Row],[BIN]]&amp;" - "&amp;Table728182243240[[#This Row],[CAID]]</f>
        <v xml:space="preserve"> -  - </v>
      </c>
      <c r="N299" s="90"/>
    </row>
    <row r="300" spans="8:14" x14ac:dyDescent="0.25">
      <c r="H300" s="91"/>
      <c r="I300" s="91"/>
      <c r="J300" s="97"/>
      <c r="K300" s="79"/>
      <c r="L300" s="79"/>
      <c r="M300" s="79" t="str">
        <f>Table728182243240[[#This Row],[DBA]]&amp;" - "&amp;Table728182243240[[#This Row],[BIN]]&amp;" - "&amp;Table728182243240[[#This Row],[CAID]]</f>
        <v xml:space="preserve"> -  - </v>
      </c>
      <c r="N300" s="90"/>
    </row>
    <row r="301" spans="8:14" x14ac:dyDescent="0.25">
      <c r="H301" s="91"/>
      <c r="I301" s="91"/>
      <c r="J301" s="97"/>
      <c r="K301" s="79"/>
      <c r="L301" s="79"/>
      <c r="M301" s="79" t="str">
        <f>Table728182243240[[#This Row],[DBA]]&amp;" - "&amp;Table728182243240[[#This Row],[BIN]]&amp;" - "&amp;Table728182243240[[#This Row],[CAID]]</f>
        <v xml:space="preserve"> -  - </v>
      </c>
      <c r="N301" s="90"/>
    </row>
    <row r="302" spans="8:14" x14ac:dyDescent="0.25">
      <c r="H302" s="91"/>
      <c r="I302" s="91"/>
      <c r="J302" s="97"/>
      <c r="K302" s="79"/>
      <c r="L302" s="79"/>
      <c r="M302" s="79" t="str">
        <f>Table728182243240[[#This Row],[DBA]]&amp;" - "&amp;Table728182243240[[#This Row],[BIN]]&amp;" - "&amp;Table728182243240[[#This Row],[CAID]]</f>
        <v xml:space="preserve"> -  - </v>
      </c>
      <c r="N302" s="90"/>
    </row>
    <row r="303" spans="8:14" x14ac:dyDescent="0.25">
      <c r="H303" s="91"/>
      <c r="I303" s="91"/>
      <c r="J303" s="97"/>
      <c r="K303" s="79"/>
      <c r="L303" s="79"/>
      <c r="M303" s="79" t="str">
        <f>Table728182243240[[#This Row],[DBA]]&amp;" - "&amp;Table728182243240[[#This Row],[BIN]]&amp;" - "&amp;Table728182243240[[#This Row],[CAID]]</f>
        <v xml:space="preserve"> -  - </v>
      </c>
      <c r="N303" s="90"/>
    </row>
    <row r="304" spans="8:14" x14ac:dyDescent="0.25">
      <c r="H304" s="91"/>
      <c r="I304" s="91"/>
      <c r="J304" s="97"/>
      <c r="K304" s="79"/>
      <c r="L304" s="79"/>
      <c r="M304" s="79" t="str">
        <f>Table728182243240[[#This Row],[DBA]]&amp;" - "&amp;Table728182243240[[#This Row],[BIN]]&amp;" - "&amp;Table728182243240[[#This Row],[CAID]]</f>
        <v xml:space="preserve"> -  - </v>
      </c>
      <c r="N304" s="90"/>
    </row>
    <row r="305" spans="8:14" x14ac:dyDescent="0.25">
      <c r="H305" s="91"/>
      <c r="I305" s="91"/>
      <c r="J305" s="97"/>
      <c r="K305" s="79"/>
      <c r="L305" s="79"/>
      <c r="M305" s="79" t="str">
        <f>Table728182243240[[#This Row],[DBA]]&amp;" - "&amp;Table728182243240[[#This Row],[BIN]]&amp;" - "&amp;Table728182243240[[#This Row],[CAID]]</f>
        <v xml:space="preserve"> -  - </v>
      </c>
      <c r="N305" s="90"/>
    </row>
    <row r="306" spans="8:14" x14ac:dyDescent="0.25">
      <c r="H306" s="92"/>
      <c r="I306" s="92"/>
      <c r="J306" s="97"/>
      <c r="K306" s="89"/>
      <c r="L306" s="89"/>
      <c r="M306" s="89" t="str">
        <f>Table728182243240[[#This Row],[DBA]]&amp;" - "&amp;Table728182243240[[#This Row],[BIN]]&amp;" - "&amp;Table728182243240[[#This Row],[CAID]]</f>
        <v xml:space="preserve"> -  - </v>
      </c>
      <c r="N306" s="90"/>
    </row>
  </sheetData>
  <mergeCells count="5">
    <mergeCell ref="C2:D2"/>
    <mergeCell ref="C3:D3"/>
    <mergeCell ref="C4:D4"/>
    <mergeCell ref="C6:D6"/>
    <mergeCell ref="H6:O6"/>
  </mergeCells>
  <dataValidations count="11">
    <dataValidation allowBlank="1" showInputMessage="1" showErrorMessage="1" promptTitle="Rule Name" prompt="Rule Name is the rule identifier created by the seller and made available in reporting for insight into why an RDR case_x000a_was accepted. _x000a__x000a_Keep rule names short, explicit, and clear enough to be referenced in RDR communications. _x000a__x000a_" sqref="C6:D6" xr:uid="{66DAB752-68C2-461E-9B91-6C32EEDF0F21}"/>
    <dataValidation allowBlank="1" showInputMessage="1" showErrorMessage="1" promptTitle="ARN (Acquirer Reference Number)" prompt="ARN (Acquirer Reference Number)" sqref="J9:J306" xr:uid="{C57F244A-C540-4204-AC0F-8BED1E71662D}"/>
    <dataValidation allowBlank="1" showInputMessage="1" showErrorMessage="1" promptTitle="Merchant ID" prompt="This cell contains the Merchant ID for the Merchant account.  This will be populated by Verifi" sqref="N9:N306" xr:uid="{B649CF05-1888-4CE7-9DC8-297BD973CECD}"/>
    <dataValidation allowBlank="1" showInputMessage="1" showErrorMessage="1" promptTitle="Merchant Category Code" prompt="This is the Merchant Category Code associated with the BIN/CAID" sqref="K9:K306" xr:uid="{E1EBC900-F5CF-41CD-880F-9DBA06397E8A}"/>
    <dataValidation type="textLength" allowBlank="1" showInputMessage="1" showErrorMessage="1" promptTitle="DBA" prompt="DBA can only be up to 20 characters" sqref="L9:L306" xr:uid="{6F3D494F-8A0B-4910-B6C2-03C8E6331CB6}">
      <formula1>0</formula1>
      <formula2>20</formula2>
    </dataValidation>
    <dataValidation allowBlank="1" showInputMessage="1" showErrorMessage="1" promptTitle="Do not change this cell" prompt="The function attached will create the merchant name.  This is for Verifi Only" sqref="M9:M306" xr:uid="{7C3818AB-9C9B-4B2C-A847-FE770AB72092}"/>
    <dataValidation type="textLength" allowBlank="1" showInputMessage="1" showErrorMessage="1" promptTitle="CAID" prompt="CAID cannot be greater than 15 characters" sqref="I9:I306" xr:uid="{3BD0CFD7-6346-4C71-9A5C-D4DBCBAFBA4A}">
      <formula1>0</formula1>
      <formula2>15</formula2>
    </dataValidation>
    <dataValidation type="textLength" allowBlank="1" showInputMessage="1" showErrorMessage="1" promptTitle="BIN" prompt="The BIN has to be 6 characters only" sqref="H9:H306" xr:uid="{56B37CC9-1304-4658-A065-A8A24E40977F}">
      <formula1>6</formula1>
      <formula2>6</formula2>
    </dataValidation>
    <dataValidation type="list" allowBlank="1" showInputMessage="1" showErrorMessage="1" sqref="B10:B11 B15 B20 B25 B30 B35 B40" xr:uid="{D6B1485E-B9CE-4E80-BC63-C24ABE0D8727}">
      <formula1>Rule</formula1>
    </dataValidation>
    <dataValidation type="list" allowBlank="1" showInputMessage="1" showErrorMessage="1" sqref="C15 C20 C25 C30 C35 C40 C10:C11" xr:uid="{FEDB7B8F-05A0-4626-A40E-BA69C363D718}">
      <formula1>INDIRECT(B10)</formula1>
    </dataValidation>
    <dataValidation type="list" allowBlank="1" showInputMessage="1" sqref="D15 D20 D25 D30 D35 D40 D10:D11" xr:uid="{4B0EDE74-1F24-4D35-B832-8C6428F90881}">
      <formula1>INDIRECT(SUBSTITUTE(B10&amp;C10," ",""))</formula1>
    </dataValidation>
  </dataValidations>
  <pageMargins left="0.75" right="0.75" top="0.75" bottom="0.75" header="0.5" footer="0.5"/>
  <pageSetup orientation="portrait" r:id="rId1"/>
  <headerFooter alignWithMargins="0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504B1-C6B2-49CB-9426-8BD301A11B1C}">
  <dimension ref="B1:O306"/>
  <sheetViews>
    <sheetView showGridLines="0" workbookViewId="0">
      <selection activeCell="C2" sqref="C2:D2"/>
    </sheetView>
  </sheetViews>
  <sheetFormatPr defaultColWidth="8.77734375" defaultRowHeight="13.2" x14ac:dyDescent="0.25"/>
  <cols>
    <col min="1" max="1" width="2.21875" style="3" customWidth="1"/>
    <col min="2" max="2" width="24.77734375" style="3" bestFit="1" customWidth="1"/>
    <col min="3" max="3" width="22.77734375" style="3" customWidth="1"/>
    <col min="4" max="4" width="41.21875" style="3" bestFit="1" customWidth="1"/>
    <col min="5" max="5" width="13.21875" style="3" customWidth="1"/>
    <col min="6" max="6" width="8.77734375" style="3"/>
    <col min="7" max="7" width="14.44140625" style="3" customWidth="1"/>
    <col min="8" max="8" width="10.21875" style="3" customWidth="1"/>
    <col min="9" max="10" width="25.21875" style="3" customWidth="1"/>
    <col min="11" max="11" width="12.44140625" style="3" bestFit="1" customWidth="1"/>
    <col min="12" max="12" width="12.44140625" style="3" customWidth="1"/>
    <col min="13" max="13" width="34" style="3" bestFit="1" customWidth="1"/>
    <col min="14" max="14" width="28" style="3" customWidth="1"/>
    <col min="15" max="15" width="14.21875" style="3" bestFit="1" customWidth="1"/>
    <col min="16" max="16384" width="8.77734375" style="3"/>
  </cols>
  <sheetData>
    <row r="1" spans="2:15" ht="13.8" thickBot="1" x14ac:dyDescent="0.3"/>
    <row r="2" spans="2:15" ht="13.8" thickBot="1" x14ac:dyDescent="0.3">
      <c r="B2" s="100" t="s">
        <v>345</v>
      </c>
      <c r="C2" s="116" t="s">
        <v>347</v>
      </c>
      <c r="D2" s="117"/>
      <c r="I2" s="95"/>
      <c r="J2" s="95"/>
    </row>
    <row r="3" spans="2:15" ht="13.8" thickBot="1" x14ac:dyDescent="0.3">
      <c r="B3" s="101" t="s">
        <v>344</v>
      </c>
      <c r="C3" s="116">
        <v>11600</v>
      </c>
      <c r="D3" s="117"/>
      <c r="I3" s="95"/>
      <c r="J3" s="95"/>
    </row>
    <row r="4" spans="2:15" ht="13.8" thickBot="1" x14ac:dyDescent="0.3">
      <c r="B4" s="100" t="s">
        <v>332</v>
      </c>
      <c r="C4" s="112"/>
      <c r="D4" s="112"/>
      <c r="I4" s="95"/>
      <c r="J4" s="95"/>
    </row>
    <row r="5" spans="2:15" ht="13.8" thickBot="1" x14ac:dyDescent="0.3">
      <c r="B5" s="101" t="s">
        <v>343</v>
      </c>
      <c r="C5" s="102"/>
      <c r="D5" s="103"/>
      <c r="I5" s="95"/>
      <c r="J5" s="95"/>
    </row>
    <row r="6" spans="2:15" ht="13.8" thickBot="1" x14ac:dyDescent="0.3">
      <c r="B6" s="100" t="s">
        <v>334</v>
      </c>
      <c r="C6" s="112"/>
      <c r="D6" s="112"/>
      <c r="H6" s="113" t="s">
        <v>330</v>
      </c>
      <c r="I6" s="114"/>
      <c r="J6" s="114"/>
      <c r="K6" s="114"/>
      <c r="L6" s="114"/>
      <c r="M6" s="114"/>
      <c r="N6" s="114"/>
      <c r="O6" s="115"/>
    </row>
    <row r="7" spans="2:15" x14ac:dyDescent="0.25">
      <c r="B7" s="87"/>
      <c r="C7" s="87"/>
    </row>
    <row r="8" spans="2:15" ht="13.8" thickBot="1" x14ac:dyDescent="0.3">
      <c r="C8" s="13"/>
      <c r="H8" s="13" t="s">
        <v>84</v>
      </c>
      <c r="I8" s="13" t="s">
        <v>85</v>
      </c>
      <c r="J8" s="88" t="s">
        <v>342</v>
      </c>
      <c r="K8" s="88" t="s">
        <v>339</v>
      </c>
      <c r="L8" s="88" t="s">
        <v>333</v>
      </c>
      <c r="M8" s="93" t="s">
        <v>340</v>
      </c>
      <c r="N8" s="94" t="s">
        <v>341</v>
      </c>
    </row>
    <row r="9" spans="2:15" ht="18.75" customHeight="1" thickBot="1" x14ac:dyDescent="0.3">
      <c r="B9" s="80" t="s">
        <v>329</v>
      </c>
      <c r="C9" s="81" t="s">
        <v>64</v>
      </c>
      <c r="D9" s="82" t="s">
        <v>63</v>
      </c>
      <c r="H9" s="96"/>
      <c r="I9" s="96"/>
      <c r="J9" s="98"/>
      <c r="K9" s="99"/>
      <c r="L9" s="99"/>
      <c r="M9" s="90" t="str">
        <f>Table72818224324048[[#This Row],[DBA]]&amp;" - "&amp;Table72818224324048[[#This Row],[BIN]]&amp;" - "&amp;Table72818224324048[[#This Row],[CAID]]</f>
        <v xml:space="preserve"> -  - </v>
      </c>
      <c r="N9" s="90"/>
    </row>
    <row r="10" spans="2:15" ht="13.8" thickBot="1" x14ac:dyDescent="0.3">
      <c r="B10" s="83"/>
      <c r="C10" s="84"/>
      <c r="D10" s="83"/>
      <c r="H10" s="91"/>
      <c r="I10" s="91"/>
      <c r="J10" s="97"/>
      <c r="K10" s="79"/>
      <c r="L10" s="79"/>
      <c r="M10" s="79" t="str">
        <f>Table72818224324048[[#This Row],[DBA]]&amp;" - "&amp;Table72818224324048[[#This Row],[BIN]]&amp;" - "&amp;Table72818224324048[[#This Row],[CAID]]</f>
        <v xml:space="preserve"> -  - </v>
      </c>
      <c r="N10" s="90"/>
    </row>
    <row r="11" spans="2:15" x14ac:dyDescent="0.25">
      <c r="B11" s="85"/>
      <c r="C11" s="86"/>
      <c r="D11" s="85"/>
      <c r="H11" s="91"/>
      <c r="I11" s="91"/>
      <c r="J11" s="97"/>
      <c r="K11" s="79"/>
      <c r="L11" s="79"/>
      <c r="M11" s="79" t="str">
        <f>Table72818224324048[[#This Row],[DBA]]&amp;" - "&amp;Table72818224324048[[#This Row],[BIN]]&amp;" - "&amp;Table72818224324048[[#This Row],[CAID]]</f>
        <v xml:space="preserve"> -  - </v>
      </c>
      <c r="N11" s="90"/>
    </row>
    <row r="12" spans="2:15" x14ac:dyDescent="0.25">
      <c r="C12" s="30" t="s">
        <v>83</v>
      </c>
      <c r="H12" s="91"/>
      <c r="I12" s="91"/>
      <c r="J12" s="97"/>
      <c r="K12" s="79"/>
      <c r="L12" s="79"/>
      <c r="M12" s="79" t="str">
        <f>Table72818224324048[[#This Row],[DBA]]&amp;" - "&amp;Table72818224324048[[#This Row],[BIN]]&amp;" - "&amp;Table72818224324048[[#This Row],[CAID]]</f>
        <v xml:space="preserve"> -  - </v>
      </c>
      <c r="N12" s="90"/>
    </row>
    <row r="13" spans="2:15" ht="13.8" thickBot="1" x14ac:dyDescent="0.3">
      <c r="C13" s="29"/>
      <c r="H13" s="91"/>
      <c r="I13" s="91"/>
      <c r="J13" s="97"/>
      <c r="K13" s="79"/>
      <c r="L13" s="79"/>
      <c r="M13" s="79" t="str">
        <f>Table72818224324048[[#This Row],[DBA]]&amp;" - "&amp;Table72818224324048[[#This Row],[BIN]]&amp;" - "&amp;Table72818224324048[[#This Row],[CAID]]</f>
        <v xml:space="preserve"> -  - </v>
      </c>
      <c r="N13" s="90"/>
    </row>
    <row r="14" spans="2:15" ht="13.8" thickBot="1" x14ac:dyDescent="0.3">
      <c r="B14" s="80" t="s">
        <v>329</v>
      </c>
      <c r="C14" s="81" t="s">
        <v>64</v>
      </c>
      <c r="D14" s="82" t="s">
        <v>63</v>
      </c>
      <c r="H14" s="91"/>
      <c r="I14" s="91"/>
      <c r="J14" s="97"/>
      <c r="K14" s="79"/>
      <c r="L14" s="79"/>
      <c r="M14" s="79" t="str">
        <f>Table72818224324048[[#This Row],[DBA]]&amp;" - "&amp;Table72818224324048[[#This Row],[BIN]]&amp;" - "&amp;Table72818224324048[[#This Row],[CAID]]</f>
        <v xml:space="preserve"> -  - </v>
      </c>
      <c r="N14" s="90"/>
    </row>
    <row r="15" spans="2:15" ht="13.8" thickBot="1" x14ac:dyDescent="0.3">
      <c r="B15" s="83"/>
      <c r="C15" s="84"/>
      <c r="D15" s="83"/>
      <c r="H15" s="91"/>
      <c r="I15" s="91"/>
      <c r="J15" s="97"/>
      <c r="K15" s="79"/>
      <c r="L15" s="79"/>
      <c r="M15" s="79" t="str">
        <f>Table72818224324048[[#This Row],[DBA]]&amp;" - "&amp;Table72818224324048[[#This Row],[BIN]]&amp;" - "&amp;Table72818224324048[[#This Row],[CAID]]</f>
        <v xml:space="preserve"> -  - </v>
      </c>
      <c r="N15" s="90"/>
    </row>
    <row r="16" spans="2:15" x14ac:dyDescent="0.25">
      <c r="H16" s="91"/>
      <c r="I16" s="91"/>
      <c r="J16" s="97"/>
      <c r="K16" s="79"/>
      <c r="L16" s="79"/>
      <c r="M16" s="79" t="str">
        <f>Table72818224324048[[#This Row],[DBA]]&amp;" - "&amp;Table72818224324048[[#This Row],[BIN]]&amp;" - "&amp;Table72818224324048[[#This Row],[CAID]]</f>
        <v xml:space="preserve"> -  - </v>
      </c>
      <c r="N16" s="90"/>
    </row>
    <row r="17" spans="2:14" x14ac:dyDescent="0.25">
      <c r="C17" s="30" t="s">
        <v>83</v>
      </c>
      <c r="H17" s="91"/>
      <c r="I17" s="91"/>
      <c r="J17" s="97"/>
      <c r="K17" s="79"/>
      <c r="L17" s="79"/>
      <c r="M17" s="79" t="str">
        <f>Table72818224324048[[#This Row],[DBA]]&amp;" - "&amp;Table72818224324048[[#This Row],[BIN]]&amp;" - "&amp;Table72818224324048[[#This Row],[CAID]]</f>
        <v xml:space="preserve"> -  - </v>
      </c>
      <c r="N17" s="90"/>
    </row>
    <row r="18" spans="2:14" ht="13.8" thickBot="1" x14ac:dyDescent="0.3">
      <c r="C18" s="29"/>
      <c r="H18" s="91"/>
      <c r="I18" s="91"/>
      <c r="J18" s="97"/>
      <c r="K18" s="79"/>
      <c r="L18" s="79"/>
      <c r="M18" s="79" t="str">
        <f>Table72818224324048[[#This Row],[DBA]]&amp;" - "&amp;Table72818224324048[[#This Row],[BIN]]&amp;" - "&amp;Table72818224324048[[#This Row],[CAID]]</f>
        <v xml:space="preserve"> -  - </v>
      </c>
      <c r="N18" s="90"/>
    </row>
    <row r="19" spans="2:14" ht="13.8" thickBot="1" x14ac:dyDescent="0.3">
      <c r="B19" s="80" t="s">
        <v>329</v>
      </c>
      <c r="C19" s="81" t="s">
        <v>64</v>
      </c>
      <c r="D19" s="82" t="s">
        <v>63</v>
      </c>
      <c r="H19" s="91"/>
      <c r="I19" s="91"/>
      <c r="J19" s="97"/>
      <c r="K19" s="79"/>
      <c r="L19" s="79"/>
      <c r="M19" s="79" t="str">
        <f>Table72818224324048[[#This Row],[DBA]]&amp;" - "&amp;Table72818224324048[[#This Row],[BIN]]&amp;" - "&amp;Table72818224324048[[#This Row],[CAID]]</f>
        <v xml:space="preserve"> -  - </v>
      </c>
      <c r="N19" s="90"/>
    </row>
    <row r="20" spans="2:14" ht="13.8" thickBot="1" x14ac:dyDescent="0.3">
      <c r="B20" s="83"/>
      <c r="C20" s="84"/>
      <c r="D20" s="83"/>
      <c r="H20" s="91"/>
      <c r="I20" s="91"/>
      <c r="J20" s="97"/>
      <c r="K20" s="79"/>
      <c r="L20" s="79"/>
      <c r="M20" s="79" t="str">
        <f>Table72818224324048[[#This Row],[DBA]]&amp;" - "&amp;Table72818224324048[[#This Row],[BIN]]&amp;" - "&amp;Table72818224324048[[#This Row],[CAID]]</f>
        <v xml:space="preserve"> -  - </v>
      </c>
      <c r="N20" s="90"/>
    </row>
    <row r="21" spans="2:14" x14ac:dyDescent="0.25">
      <c r="H21" s="91"/>
      <c r="I21" s="91"/>
      <c r="J21" s="97"/>
      <c r="K21" s="79"/>
      <c r="L21" s="79"/>
      <c r="M21" s="79" t="str">
        <f>Table72818224324048[[#This Row],[DBA]]&amp;" - "&amp;Table72818224324048[[#This Row],[BIN]]&amp;" - "&amp;Table72818224324048[[#This Row],[CAID]]</f>
        <v xml:space="preserve"> -  - </v>
      </c>
      <c r="N21" s="90"/>
    </row>
    <row r="22" spans="2:14" x14ac:dyDescent="0.25">
      <c r="C22" s="30" t="s">
        <v>83</v>
      </c>
      <c r="H22" s="91"/>
      <c r="I22" s="91"/>
      <c r="J22" s="97"/>
      <c r="K22" s="79"/>
      <c r="L22" s="79"/>
      <c r="M22" s="79" t="str">
        <f>Table72818224324048[[#This Row],[DBA]]&amp;" - "&amp;Table72818224324048[[#This Row],[BIN]]&amp;" - "&amp;Table72818224324048[[#This Row],[CAID]]</f>
        <v xml:space="preserve"> -  - </v>
      </c>
      <c r="N22" s="90"/>
    </row>
    <row r="23" spans="2:14" ht="13.8" thickBot="1" x14ac:dyDescent="0.3">
      <c r="C23" s="29"/>
      <c r="H23" s="91"/>
      <c r="I23" s="91"/>
      <c r="J23" s="97"/>
      <c r="K23" s="79"/>
      <c r="L23" s="79"/>
      <c r="M23" s="79" t="str">
        <f>Table72818224324048[[#This Row],[DBA]]&amp;" - "&amp;Table72818224324048[[#This Row],[BIN]]&amp;" - "&amp;Table72818224324048[[#This Row],[CAID]]</f>
        <v xml:space="preserve"> -  - </v>
      </c>
      <c r="N23" s="90"/>
    </row>
    <row r="24" spans="2:14" ht="13.8" thickBot="1" x14ac:dyDescent="0.3">
      <c r="B24" s="80" t="s">
        <v>329</v>
      </c>
      <c r="C24" s="81" t="s">
        <v>64</v>
      </c>
      <c r="D24" s="82" t="s">
        <v>63</v>
      </c>
      <c r="H24" s="91"/>
      <c r="I24" s="91"/>
      <c r="J24" s="97"/>
      <c r="K24" s="79"/>
      <c r="L24" s="79"/>
      <c r="M24" s="79" t="str">
        <f>Table72818224324048[[#This Row],[DBA]]&amp;" - "&amp;Table72818224324048[[#This Row],[BIN]]&amp;" - "&amp;Table72818224324048[[#This Row],[CAID]]</f>
        <v xml:space="preserve"> -  - </v>
      </c>
      <c r="N24" s="90"/>
    </row>
    <row r="25" spans="2:14" ht="13.8" thickBot="1" x14ac:dyDescent="0.3">
      <c r="B25" s="83"/>
      <c r="C25" s="84"/>
      <c r="D25" s="83"/>
      <c r="H25" s="91"/>
      <c r="I25" s="91"/>
      <c r="J25" s="97"/>
      <c r="K25" s="79"/>
      <c r="L25" s="79"/>
      <c r="M25" s="79" t="str">
        <f>Table72818224324048[[#This Row],[DBA]]&amp;" - "&amp;Table72818224324048[[#This Row],[BIN]]&amp;" - "&amp;Table72818224324048[[#This Row],[CAID]]</f>
        <v xml:space="preserve"> -  - </v>
      </c>
      <c r="N25" s="90"/>
    </row>
    <row r="26" spans="2:14" x14ac:dyDescent="0.25">
      <c r="H26" s="91"/>
      <c r="I26" s="91"/>
      <c r="J26" s="97"/>
      <c r="K26" s="79"/>
      <c r="L26" s="79"/>
      <c r="M26" s="79" t="str">
        <f>Table72818224324048[[#This Row],[DBA]]&amp;" - "&amp;Table72818224324048[[#This Row],[BIN]]&amp;" - "&amp;Table72818224324048[[#This Row],[CAID]]</f>
        <v xml:space="preserve"> -  - </v>
      </c>
      <c r="N26" s="90"/>
    </row>
    <row r="27" spans="2:14" x14ac:dyDescent="0.25">
      <c r="C27" s="30" t="s">
        <v>83</v>
      </c>
      <c r="H27" s="91"/>
      <c r="I27" s="91"/>
      <c r="J27" s="97"/>
      <c r="K27" s="79"/>
      <c r="L27" s="79"/>
      <c r="M27" s="79" t="str">
        <f>Table72818224324048[[#This Row],[DBA]]&amp;" - "&amp;Table72818224324048[[#This Row],[BIN]]&amp;" - "&amp;Table72818224324048[[#This Row],[CAID]]</f>
        <v xml:space="preserve"> -  - </v>
      </c>
      <c r="N27" s="90"/>
    </row>
    <row r="28" spans="2:14" ht="13.8" thickBot="1" x14ac:dyDescent="0.3">
      <c r="C28" s="29"/>
      <c r="H28" s="91"/>
      <c r="I28" s="91"/>
      <c r="J28" s="97"/>
      <c r="K28" s="79"/>
      <c r="L28" s="79"/>
      <c r="M28" s="79" t="str">
        <f>Table72818224324048[[#This Row],[DBA]]&amp;" - "&amp;Table72818224324048[[#This Row],[BIN]]&amp;" - "&amp;Table72818224324048[[#This Row],[CAID]]</f>
        <v xml:space="preserve"> -  - </v>
      </c>
      <c r="N28" s="90"/>
    </row>
    <row r="29" spans="2:14" ht="13.8" thickBot="1" x14ac:dyDescent="0.3">
      <c r="B29" s="80" t="s">
        <v>329</v>
      </c>
      <c r="C29" s="81" t="s">
        <v>64</v>
      </c>
      <c r="D29" s="82" t="s">
        <v>63</v>
      </c>
      <c r="H29" s="91"/>
      <c r="I29" s="91"/>
      <c r="J29" s="97"/>
      <c r="K29" s="79"/>
      <c r="L29" s="79"/>
      <c r="M29" s="79" t="str">
        <f>Table72818224324048[[#This Row],[DBA]]&amp;" - "&amp;Table72818224324048[[#This Row],[BIN]]&amp;" - "&amp;Table72818224324048[[#This Row],[CAID]]</f>
        <v xml:space="preserve"> -  - </v>
      </c>
      <c r="N29" s="90"/>
    </row>
    <row r="30" spans="2:14" ht="13.8" thickBot="1" x14ac:dyDescent="0.3">
      <c r="B30" s="83"/>
      <c r="C30" s="84"/>
      <c r="D30" s="83"/>
      <c r="H30" s="91"/>
      <c r="I30" s="91"/>
      <c r="J30" s="97"/>
      <c r="K30" s="79"/>
      <c r="L30" s="79"/>
      <c r="M30" s="79" t="str">
        <f>Table72818224324048[[#This Row],[DBA]]&amp;" - "&amp;Table72818224324048[[#This Row],[BIN]]&amp;" - "&amp;Table72818224324048[[#This Row],[CAID]]</f>
        <v xml:space="preserve"> -  - </v>
      </c>
      <c r="N30" s="90"/>
    </row>
    <row r="31" spans="2:14" x14ac:dyDescent="0.25">
      <c r="H31" s="91"/>
      <c r="I31" s="91"/>
      <c r="J31" s="97"/>
      <c r="K31" s="79"/>
      <c r="L31" s="79"/>
      <c r="M31" s="79" t="str">
        <f>Table72818224324048[[#This Row],[DBA]]&amp;" - "&amp;Table72818224324048[[#This Row],[BIN]]&amp;" - "&amp;Table72818224324048[[#This Row],[CAID]]</f>
        <v xml:space="preserve"> -  - </v>
      </c>
      <c r="N31" s="90"/>
    </row>
    <row r="32" spans="2:14" x14ac:dyDescent="0.25">
      <c r="C32" s="30" t="s">
        <v>83</v>
      </c>
      <c r="H32" s="91"/>
      <c r="I32" s="91"/>
      <c r="J32" s="97"/>
      <c r="K32" s="79"/>
      <c r="L32" s="79"/>
      <c r="M32" s="79" t="str">
        <f>Table72818224324048[[#This Row],[DBA]]&amp;" - "&amp;Table72818224324048[[#This Row],[BIN]]&amp;" - "&amp;Table72818224324048[[#This Row],[CAID]]</f>
        <v xml:space="preserve"> -  - </v>
      </c>
      <c r="N32" s="90"/>
    </row>
    <row r="33" spans="2:14" ht="13.8" thickBot="1" x14ac:dyDescent="0.3">
      <c r="C33" s="29"/>
      <c r="H33" s="91"/>
      <c r="I33" s="91"/>
      <c r="J33" s="97"/>
      <c r="K33" s="79"/>
      <c r="L33" s="79"/>
      <c r="M33" s="79" t="str">
        <f>Table72818224324048[[#This Row],[DBA]]&amp;" - "&amp;Table72818224324048[[#This Row],[BIN]]&amp;" - "&amp;Table72818224324048[[#This Row],[CAID]]</f>
        <v xml:space="preserve"> -  - </v>
      </c>
      <c r="N33" s="90"/>
    </row>
    <row r="34" spans="2:14" ht="13.8" thickBot="1" x14ac:dyDescent="0.3">
      <c r="B34" s="80" t="s">
        <v>329</v>
      </c>
      <c r="C34" s="81" t="s">
        <v>64</v>
      </c>
      <c r="D34" s="82" t="s">
        <v>63</v>
      </c>
      <c r="H34" s="91"/>
      <c r="I34" s="91"/>
      <c r="J34" s="97"/>
      <c r="K34" s="79"/>
      <c r="L34" s="79"/>
      <c r="M34" s="79" t="str">
        <f>Table72818224324048[[#This Row],[DBA]]&amp;" - "&amp;Table72818224324048[[#This Row],[BIN]]&amp;" - "&amp;Table72818224324048[[#This Row],[CAID]]</f>
        <v xml:space="preserve"> -  - </v>
      </c>
      <c r="N34" s="90"/>
    </row>
    <row r="35" spans="2:14" ht="13.8" thickBot="1" x14ac:dyDescent="0.3">
      <c r="B35" s="83"/>
      <c r="C35" s="84"/>
      <c r="D35" s="83"/>
      <c r="H35" s="91"/>
      <c r="I35" s="91"/>
      <c r="J35" s="97"/>
      <c r="K35" s="79"/>
      <c r="L35" s="79"/>
      <c r="M35" s="79" t="str">
        <f>Table72818224324048[[#This Row],[DBA]]&amp;" - "&amp;Table72818224324048[[#This Row],[BIN]]&amp;" - "&amp;Table72818224324048[[#This Row],[CAID]]</f>
        <v xml:space="preserve"> -  - </v>
      </c>
      <c r="N35" s="90"/>
    </row>
    <row r="36" spans="2:14" x14ac:dyDescent="0.25">
      <c r="H36" s="91"/>
      <c r="I36" s="91"/>
      <c r="J36" s="97"/>
      <c r="K36" s="79"/>
      <c r="L36" s="79"/>
      <c r="M36" s="79" t="str">
        <f>Table72818224324048[[#This Row],[DBA]]&amp;" - "&amp;Table72818224324048[[#This Row],[BIN]]&amp;" - "&amp;Table72818224324048[[#This Row],[CAID]]</f>
        <v xml:space="preserve"> -  - </v>
      </c>
      <c r="N36" s="90"/>
    </row>
    <row r="37" spans="2:14" x14ac:dyDescent="0.25">
      <c r="C37" s="30" t="s">
        <v>83</v>
      </c>
      <c r="H37" s="91"/>
      <c r="I37" s="91"/>
      <c r="J37" s="97"/>
      <c r="K37" s="79"/>
      <c r="L37" s="79"/>
      <c r="M37" s="79" t="str">
        <f>Table72818224324048[[#This Row],[DBA]]&amp;" - "&amp;Table72818224324048[[#This Row],[BIN]]&amp;" - "&amp;Table72818224324048[[#This Row],[CAID]]</f>
        <v xml:space="preserve"> -  - </v>
      </c>
      <c r="N37" s="90"/>
    </row>
    <row r="38" spans="2:14" ht="13.8" thickBot="1" x14ac:dyDescent="0.3">
      <c r="C38" s="29"/>
      <c r="H38" s="91"/>
      <c r="I38" s="91"/>
      <c r="J38" s="97"/>
      <c r="K38" s="79"/>
      <c r="L38" s="79"/>
      <c r="M38" s="79" t="str">
        <f>Table72818224324048[[#This Row],[DBA]]&amp;" - "&amp;Table72818224324048[[#This Row],[BIN]]&amp;" - "&amp;Table72818224324048[[#This Row],[CAID]]</f>
        <v xml:space="preserve"> -  - </v>
      </c>
      <c r="N38" s="90"/>
    </row>
    <row r="39" spans="2:14" ht="13.8" thickBot="1" x14ac:dyDescent="0.3">
      <c r="B39" s="80" t="s">
        <v>329</v>
      </c>
      <c r="C39" s="81" t="s">
        <v>64</v>
      </c>
      <c r="D39" s="82" t="s">
        <v>63</v>
      </c>
      <c r="H39" s="91"/>
      <c r="I39" s="91"/>
      <c r="J39" s="97"/>
      <c r="K39" s="79"/>
      <c r="L39" s="79"/>
      <c r="M39" s="79" t="str">
        <f>Table72818224324048[[#This Row],[DBA]]&amp;" - "&amp;Table72818224324048[[#This Row],[BIN]]&amp;" - "&amp;Table72818224324048[[#This Row],[CAID]]</f>
        <v xml:space="preserve"> -  - </v>
      </c>
      <c r="N39" s="90"/>
    </row>
    <row r="40" spans="2:14" ht="13.8" thickBot="1" x14ac:dyDescent="0.3">
      <c r="B40" s="83"/>
      <c r="C40" s="84"/>
      <c r="D40" s="83"/>
      <c r="H40" s="91"/>
      <c r="I40" s="91"/>
      <c r="J40" s="97"/>
      <c r="K40" s="89"/>
      <c r="L40" s="89"/>
      <c r="M40" s="79" t="str">
        <f>Table72818224324048[[#This Row],[DBA]]&amp;" - "&amp;Table72818224324048[[#This Row],[BIN]]&amp;" - "&amp;Table72818224324048[[#This Row],[CAID]]</f>
        <v xml:space="preserve"> -  - </v>
      </c>
      <c r="N40" s="90"/>
    </row>
    <row r="41" spans="2:14" x14ac:dyDescent="0.25">
      <c r="H41" s="91"/>
      <c r="I41" s="91"/>
      <c r="J41" s="97"/>
      <c r="K41" s="79"/>
      <c r="L41" s="79"/>
      <c r="M41" s="79" t="str">
        <f>Table72818224324048[[#This Row],[DBA]]&amp;" - "&amp;Table72818224324048[[#This Row],[BIN]]&amp;" - "&amp;Table72818224324048[[#This Row],[CAID]]</f>
        <v xml:space="preserve"> -  - </v>
      </c>
      <c r="N41" s="90"/>
    </row>
    <row r="42" spans="2:14" x14ac:dyDescent="0.25">
      <c r="H42" s="91"/>
      <c r="I42" s="91"/>
      <c r="J42" s="97"/>
      <c r="K42" s="79"/>
      <c r="L42" s="79"/>
      <c r="M42" s="79" t="str">
        <f>Table72818224324048[[#This Row],[DBA]]&amp;" - "&amp;Table72818224324048[[#This Row],[BIN]]&amp;" - "&amp;Table72818224324048[[#This Row],[CAID]]</f>
        <v xml:space="preserve"> -  - </v>
      </c>
      <c r="N42" s="90"/>
    </row>
    <row r="43" spans="2:14" x14ac:dyDescent="0.25">
      <c r="H43" s="91"/>
      <c r="I43" s="91"/>
      <c r="J43" s="97"/>
      <c r="K43" s="79"/>
      <c r="L43" s="79"/>
      <c r="M43" s="79" t="str">
        <f>Table72818224324048[[#This Row],[DBA]]&amp;" - "&amp;Table72818224324048[[#This Row],[BIN]]&amp;" - "&amp;Table72818224324048[[#This Row],[CAID]]</f>
        <v xml:space="preserve"> -  - </v>
      </c>
      <c r="N43" s="90"/>
    </row>
    <row r="44" spans="2:14" x14ac:dyDescent="0.25">
      <c r="H44" s="91"/>
      <c r="I44" s="91"/>
      <c r="J44" s="97"/>
      <c r="K44" s="79"/>
      <c r="L44" s="79"/>
      <c r="M44" s="79" t="str">
        <f>Table72818224324048[[#This Row],[DBA]]&amp;" - "&amp;Table72818224324048[[#This Row],[BIN]]&amp;" - "&amp;Table72818224324048[[#This Row],[CAID]]</f>
        <v xml:space="preserve"> -  - </v>
      </c>
      <c r="N44" s="90"/>
    </row>
    <row r="45" spans="2:14" x14ac:dyDescent="0.25">
      <c r="H45" s="91"/>
      <c r="I45" s="91"/>
      <c r="J45" s="97"/>
      <c r="K45" s="79"/>
      <c r="L45" s="79"/>
      <c r="M45" s="79" t="str">
        <f>Table72818224324048[[#This Row],[DBA]]&amp;" - "&amp;Table72818224324048[[#This Row],[BIN]]&amp;" - "&amp;Table72818224324048[[#This Row],[CAID]]</f>
        <v xml:space="preserve"> -  - </v>
      </c>
      <c r="N45" s="90"/>
    </row>
    <row r="46" spans="2:14" x14ac:dyDescent="0.25">
      <c r="H46" s="91"/>
      <c r="I46" s="91"/>
      <c r="J46" s="97"/>
      <c r="K46" s="79"/>
      <c r="L46" s="79"/>
      <c r="M46" s="79" t="str">
        <f>Table72818224324048[[#This Row],[DBA]]&amp;" - "&amp;Table72818224324048[[#This Row],[BIN]]&amp;" - "&amp;Table72818224324048[[#This Row],[CAID]]</f>
        <v xml:space="preserve"> -  - </v>
      </c>
      <c r="N46" s="90"/>
    </row>
    <row r="47" spans="2:14" x14ac:dyDescent="0.25">
      <c r="H47" s="91"/>
      <c r="I47" s="91"/>
      <c r="J47" s="97"/>
      <c r="K47" s="79"/>
      <c r="L47" s="79"/>
      <c r="M47" s="79" t="str">
        <f>Table72818224324048[[#This Row],[DBA]]&amp;" - "&amp;Table72818224324048[[#This Row],[BIN]]&amp;" - "&amp;Table72818224324048[[#This Row],[CAID]]</f>
        <v xml:space="preserve"> -  - </v>
      </c>
      <c r="N47" s="90"/>
    </row>
    <row r="48" spans="2:14" x14ac:dyDescent="0.25">
      <c r="H48" s="91"/>
      <c r="I48" s="91"/>
      <c r="J48" s="97"/>
      <c r="K48" s="79"/>
      <c r="L48" s="79"/>
      <c r="M48" s="79" t="str">
        <f>Table72818224324048[[#This Row],[DBA]]&amp;" - "&amp;Table72818224324048[[#This Row],[BIN]]&amp;" - "&amp;Table72818224324048[[#This Row],[CAID]]</f>
        <v xml:space="preserve"> -  - </v>
      </c>
      <c r="N48" s="90"/>
    </row>
    <row r="49" spans="8:14" x14ac:dyDescent="0.25">
      <c r="H49" s="91"/>
      <c r="I49" s="91"/>
      <c r="J49" s="97"/>
      <c r="K49" s="79"/>
      <c r="L49" s="79"/>
      <c r="M49" s="79" t="str">
        <f>Table72818224324048[[#This Row],[DBA]]&amp;" - "&amp;Table72818224324048[[#This Row],[BIN]]&amp;" - "&amp;Table72818224324048[[#This Row],[CAID]]</f>
        <v xml:space="preserve"> -  - </v>
      </c>
      <c r="N49" s="90"/>
    </row>
    <row r="50" spans="8:14" x14ac:dyDescent="0.25">
      <c r="H50" s="91"/>
      <c r="I50" s="91"/>
      <c r="J50" s="97"/>
      <c r="K50" s="79"/>
      <c r="L50" s="79"/>
      <c r="M50" s="79" t="str">
        <f>Table72818224324048[[#This Row],[DBA]]&amp;" - "&amp;Table72818224324048[[#This Row],[BIN]]&amp;" - "&amp;Table72818224324048[[#This Row],[CAID]]</f>
        <v xml:space="preserve"> -  - </v>
      </c>
      <c r="N50" s="90"/>
    </row>
    <row r="51" spans="8:14" x14ac:dyDescent="0.25">
      <c r="H51" s="91"/>
      <c r="I51" s="91"/>
      <c r="J51" s="97"/>
      <c r="K51" s="79"/>
      <c r="L51" s="79"/>
      <c r="M51" s="79" t="str">
        <f>Table72818224324048[[#This Row],[DBA]]&amp;" - "&amp;Table72818224324048[[#This Row],[BIN]]&amp;" - "&amp;Table72818224324048[[#This Row],[CAID]]</f>
        <v xml:space="preserve"> -  - </v>
      </c>
      <c r="N51" s="90"/>
    </row>
    <row r="52" spans="8:14" x14ac:dyDescent="0.25">
      <c r="H52" s="91"/>
      <c r="I52" s="91"/>
      <c r="J52" s="97"/>
      <c r="K52" s="79"/>
      <c r="L52" s="79"/>
      <c r="M52" s="79" t="str">
        <f>Table72818224324048[[#This Row],[DBA]]&amp;" - "&amp;Table72818224324048[[#This Row],[BIN]]&amp;" - "&amp;Table72818224324048[[#This Row],[CAID]]</f>
        <v xml:space="preserve"> -  - </v>
      </c>
      <c r="N52" s="90"/>
    </row>
    <row r="53" spans="8:14" x14ac:dyDescent="0.25">
      <c r="H53" s="91"/>
      <c r="I53" s="91"/>
      <c r="J53" s="97"/>
      <c r="K53" s="79"/>
      <c r="L53" s="79"/>
      <c r="M53" s="79" t="str">
        <f>Table72818224324048[[#This Row],[DBA]]&amp;" - "&amp;Table72818224324048[[#This Row],[BIN]]&amp;" - "&amp;Table72818224324048[[#This Row],[CAID]]</f>
        <v xml:space="preserve"> -  - </v>
      </c>
      <c r="N53" s="90"/>
    </row>
    <row r="54" spans="8:14" x14ac:dyDescent="0.25">
      <c r="H54" s="91"/>
      <c r="I54" s="91"/>
      <c r="J54" s="97"/>
      <c r="K54" s="79"/>
      <c r="L54" s="79"/>
      <c r="M54" s="79" t="str">
        <f>Table72818224324048[[#This Row],[DBA]]&amp;" - "&amp;Table72818224324048[[#This Row],[BIN]]&amp;" - "&amp;Table72818224324048[[#This Row],[CAID]]</f>
        <v xml:space="preserve"> -  - </v>
      </c>
      <c r="N54" s="90"/>
    </row>
    <row r="55" spans="8:14" x14ac:dyDescent="0.25">
      <c r="H55" s="91"/>
      <c r="I55" s="91"/>
      <c r="J55" s="97"/>
      <c r="K55" s="79"/>
      <c r="L55" s="79"/>
      <c r="M55" s="79" t="str">
        <f>Table72818224324048[[#This Row],[DBA]]&amp;" - "&amp;Table72818224324048[[#This Row],[BIN]]&amp;" - "&amp;Table72818224324048[[#This Row],[CAID]]</f>
        <v xml:space="preserve"> -  - </v>
      </c>
      <c r="N55" s="90"/>
    </row>
    <row r="56" spans="8:14" x14ac:dyDescent="0.25">
      <c r="H56" s="91"/>
      <c r="I56" s="91"/>
      <c r="J56" s="97"/>
      <c r="K56" s="79"/>
      <c r="L56" s="79"/>
      <c r="M56" s="79" t="str">
        <f>Table72818224324048[[#This Row],[DBA]]&amp;" - "&amp;Table72818224324048[[#This Row],[BIN]]&amp;" - "&amp;Table72818224324048[[#This Row],[CAID]]</f>
        <v xml:space="preserve"> -  - </v>
      </c>
      <c r="N56" s="90"/>
    </row>
    <row r="57" spans="8:14" x14ac:dyDescent="0.25">
      <c r="H57" s="91"/>
      <c r="I57" s="91"/>
      <c r="J57" s="97"/>
      <c r="K57" s="79"/>
      <c r="L57" s="79"/>
      <c r="M57" s="79" t="str">
        <f>Table72818224324048[[#This Row],[DBA]]&amp;" - "&amp;Table72818224324048[[#This Row],[BIN]]&amp;" - "&amp;Table72818224324048[[#This Row],[CAID]]</f>
        <v xml:space="preserve"> -  - </v>
      </c>
      <c r="N57" s="90"/>
    </row>
    <row r="58" spans="8:14" x14ac:dyDescent="0.25">
      <c r="H58" s="91"/>
      <c r="I58" s="91"/>
      <c r="J58" s="97"/>
      <c r="K58" s="79"/>
      <c r="L58" s="79"/>
      <c r="M58" s="79" t="str">
        <f>Table72818224324048[[#This Row],[DBA]]&amp;" - "&amp;Table72818224324048[[#This Row],[BIN]]&amp;" - "&amp;Table72818224324048[[#This Row],[CAID]]</f>
        <v xml:space="preserve"> -  - </v>
      </c>
      <c r="N58" s="90"/>
    </row>
    <row r="59" spans="8:14" x14ac:dyDescent="0.25">
      <c r="H59" s="91"/>
      <c r="I59" s="91"/>
      <c r="J59" s="97"/>
      <c r="K59" s="79"/>
      <c r="L59" s="79"/>
      <c r="M59" s="79" t="str">
        <f>Table72818224324048[[#This Row],[DBA]]&amp;" - "&amp;Table72818224324048[[#This Row],[BIN]]&amp;" - "&amp;Table72818224324048[[#This Row],[CAID]]</f>
        <v xml:space="preserve"> -  - </v>
      </c>
      <c r="N59" s="90"/>
    </row>
    <row r="60" spans="8:14" x14ac:dyDescent="0.25">
      <c r="H60" s="91"/>
      <c r="I60" s="91"/>
      <c r="J60" s="97"/>
      <c r="K60" s="79"/>
      <c r="L60" s="79"/>
      <c r="M60" s="79" t="str">
        <f>Table72818224324048[[#This Row],[DBA]]&amp;" - "&amp;Table72818224324048[[#This Row],[BIN]]&amp;" - "&amp;Table72818224324048[[#This Row],[CAID]]</f>
        <v xml:space="preserve"> -  - </v>
      </c>
      <c r="N60" s="90"/>
    </row>
    <row r="61" spans="8:14" x14ac:dyDescent="0.25">
      <c r="H61" s="91"/>
      <c r="I61" s="91"/>
      <c r="J61" s="97"/>
      <c r="K61" s="79"/>
      <c r="L61" s="79"/>
      <c r="M61" s="79" t="str">
        <f>Table72818224324048[[#This Row],[DBA]]&amp;" - "&amp;Table72818224324048[[#This Row],[BIN]]&amp;" - "&amp;Table72818224324048[[#This Row],[CAID]]</f>
        <v xml:space="preserve"> -  - </v>
      </c>
      <c r="N61" s="90"/>
    </row>
    <row r="62" spans="8:14" x14ac:dyDescent="0.25">
      <c r="H62" s="91"/>
      <c r="I62" s="91"/>
      <c r="J62" s="97"/>
      <c r="K62" s="79"/>
      <c r="L62" s="79"/>
      <c r="M62" s="79" t="str">
        <f>Table72818224324048[[#This Row],[DBA]]&amp;" - "&amp;Table72818224324048[[#This Row],[BIN]]&amp;" - "&amp;Table72818224324048[[#This Row],[CAID]]</f>
        <v xml:space="preserve"> -  - </v>
      </c>
      <c r="N62" s="90"/>
    </row>
    <row r="63" spans="8:14" x14ac:dyDescent="0.25">
      <c r="H63" s="91"/>
      <c r="I63" s="91"/>
      <c r="J63" s="97"/>
      <c r="K63" s="79"/>
      <c r="L63" s="79"/>
      <c r="M63" s="79" t="str">
        <f>Table72818224324048[[#This Row],[DBA]]&amp;" - "&amp;Table72818224324048[[#This Row],[BIN]]&amp;" - "&amp;Table72818224324048[[#This Row],[CAID]]</f>
        <v xml:space="preserve"> -  - </v>
      </c>
      <c r="N63" s="90"/>
    </row>
    <row r="64" spans="8:14" x14ac:dyDescent="0.25">
      <c r="H64" s="91"/>
      <c r="I64" s="91"/>
      <c r="J64" s="97"/>
      <c r="K64" s="79"/>
      <c r="L64" s="79"/>
      <c r="M64" s="79" t="str">
        <f>Table72818224324048[[#This Row],[DBA]]&amp;" - "&amp;Table72818224324048[[#This Row],[BIN]]&amp;" - "&amp;Table72818224324048[[#This Row],[CAID]]</f>
        <v xml:space="preserve"> -  - </v>
      </c>
      <c r="N64" s="90"/>
    </row>
    <row r="65" spans="8:14" x14ac:dyDescent="0.25">
      <c r="H65" s="91"/>
      <c r="I65" s="91"/>
      <c r="J65" s="97"/>
      <c r="K65" s="79"/>
      <c r="L65" s="79"/>
      <c r="M65" s="79" t="str">
        <f>Table72818224324048[[#This Row],[DBA]]&amp;" - "&amp;Table72818224324048[[#This Row],[BIN]]&amp;" - "&amp;Table72818224324048[[#This Row],[CAID]]</f>
        <v xml:space="preserve"> -  - </v>
      </c>
      <c r="N65" s="90"/>
    </row>
    <row r="66" spans="8:14" x14ac:dyDescent="0.25">
      <c r="H66" s="91"/>
      <c r="I66" s="91"/>
      <c r="J66" s="97"/>
      <c r="K66" s="79"/>
      <c r="L66" s="79"/>
      <c r="M66" s="79" t="str">
        <f>Table72818224324048[[#This Row],[DBA]]&amp;" - "&amp;Table72818224324048[[#This Row],[BIN]]&amp;" - "&amp;Table72818224324048[[#This Row],[CAID]]</f>
        <v xml:space="preserve"> -  - </v>
      </c>
      <c r="N66" s="90"/>
    </row>
    <row r="67" spans="8:14" x14ac:dyDescent="0.25">
      <c r="H67" s="91"/>
      <c r="I67" s="91"/>
      <c r="J67" s="97"/>
      <c r="K67" s="79"/>
      <c r="L67" s="79"/>
      <c r="M67" s="79" t="str">
        <f>Table72818224324048[[#This Row],[DBA]]&amp;" - "&amp;Table72818224324048[[#This Row],[BIN]]&amp;" - "&amp;Table72818224324048[[#This Row],[CAID]]</f>
        <v xml:space="preserve"> -  - </v>
      </c>
      <c r="N67" s="90"/>
    </row>
    <row r="68" spans="8:14" x14ac:dyDescent="0.25">
      <c r="H68" s="91"/>
      <c r="I68" s="91"/>
      <c r="J68" s="97"/>
      <c r="K68" s="79"/>
      <c r="L68" s="79"/>
      <c r="M68" s="79" t="str">
        <f>Table72818224324048[[#This Row],[DBA]]&amp;" - "&amp;Table72818224324048[[#This Row],[BIN]]&amp;" - "&amp;Table72818224324048[[#This Row],[CAID]]</f>
        <v xml:space="preserve"> -  - </v>
      </c>
      <c r="N68" s="90"/>
    </row>
    <row r="69" spans="8:14" x14ac:dyDescent="0.25">
      <c r="H69" s="91"/>
      <c r="I69" s="91"/>
      <c r="J69" s="97"/>
      <c r="K69" s="79"/>
      <c r="L69" s="79"/>
      <c r="M69" s="79" t="str">
        <f>Table72818224324048[[#This Row],[DBA]]&amp;" - "&amp;Table72818224324048[[#This Row],[BIN]]&amp;" - "&amp;Table72818224324048[[#This Row],[CAID]]</f>
        <v xml:space="preserve"> -  - </v>
      </c>
      <c r="N69" s="90"/>
    </row>
    <row r="70" spans="8:14" x14ac:dyDescent="0.25">
      <c r="H70" s="91"/>
      <c r="I70" s="91"/>
      <c r="J70" s="97"/>
      <c r="K70" s="79"/>
      <c r="L70" s="79"/>
      <c r="M70" s="79" t="str">
        <f>Table72818224324048[[#This Row],[DBA]]&amp;" - "&amp;Table72818224324048[[#This Row],[BIN]]&amp;" - "&amp;Table72818224324048[[#This Row],[CAID]]</f>
        <v xml:space="preserve"> -  - </v>
      </c>
      <c r="N70" s="90"/>
    </row>
    <row r="71" spans="8:14" x14ac:dyDescent="0.25">
      <c r="H71" s="91"/>
      <c r="I71" s="91"/>
      <c r="J71" s="97"/>
      <c r="K71" s="79"/>
      <c r="L71" s="79"/>
      <c r="M71" s="79" t="str">
        <f>Table72818224324048[[#This Row],[DBA]]&amp;" - "&amp;Table72818224324048[[#This Row],[BIN]]&amp;" - "&amp;Table72818224324048[[#This Row],[CAID]]</f>
        <v xml:space="preserve"> -  - </v>
      </c>
      <c r="N71" s="90"/>
    </row>
    <row r="72" spans="8:14" x14ac:dyDescent="0.25">
      <c r="H72" s="91"/>
      <c r="I72" s="91"/>
      <c r="J72" s="97"/>
      <c r="K72" s="79"/>
      <c r="L72" s="79"/>
      <c r="M72" s="79" t="str">
        <f>Table72818224324048[[#This Row],[DBA]]&amp;" - "&amp;Table72818224324048[[#This Row],[BIN]]&amp;" - "&amp;Table72818224324048[[#This Row],[CAID]]</f>
        <v xml:space="preserve"> -  - </v>
      </c>
      <c r="N72" s="90"/>
    </row>
    <row r="73" spans="8:14" x14ac:dyDescent="0.25">
      <c r="H73" s="91"/>
      <c r="I73" s="91"/>
      <c r="J73" s="97"/>
      <c r="K73" s="79"/>
      <c r="L73" s="79"/>
      <c r="M73" s="79" t="str">
        <f>Table72818224324048[[#This Row],[DBA]]&amp;" - "&amp;Table72818224324048[[#This Row],[BIN]]&amp;" - "&amp;Table72818224324048[[#This Row],[CAID]]</f>
        <v xml:space="preserve"> -  - </v>
      </c>
      <c r="N73" s="90"/>
    </row>
    <row r="74" spans="8:14" x14ac:dyDescent="0.25">
      <c r="H74" s="91"/>
      <c r="I74" s="91"/>
      <c r="J74" s="97"/>
      <c r="K74" s="79"/>
      <c r="L74" s="79"/>
      <c r="M74" s="79" t="str">
        <f>Table72818224324048[[#This Row],[DBA]]&amp;" - "&amp;Table72818224324048[[#This Row],[BIN]]&amp;" - "&amp;Table72818224324048[[#This Row],[CAID]]</f>
        <v xml:space="preserve"> -  - </v>
      </c>
      <c r="N74" s="90"/>
    </row>
    <row r="75" spans="8:14" x14ac:dyDescent="0.25">
      <c r="H75" s="91"/>
      <c r="I75" s="91"/>
      <c r="J75" s="97"/>
      <c r="K75" s="79"/>
      <c r="L75" s="79"/>
      <c r="M75" s="79" t="str">
        <f>Table72818224324048[[#This Row],[DBA]]&amp;" - "&amp;Table72818224324048[[#This Row],[BIN]]&amp;" - "&amp;Table72818224324048[[#This Row],[CAID]]</f>
        <v xml:space="preserve"> -  - </v>
      </c>
      <c r="N75" s="90"/>
    </row>
    <row r="76" spans="8:14" x14ac:dyDescent="0.25">
      <c r="H76" s="91"/>
      <c r="I76" s="91"/>
      <c r="J76" s="97"/>
      <c r="K76" s="79"/>
      <c r="L76" s="79"/>
      <c r="M76" s="79" t="str">
        <f>Table72818224324048[[#This Row],[DBA]]&amp;" - "&amp;Table72818224324048[[#This Row],[BIN]]&amp;" - "&amp;Table72818224324048[[#This Row],[CAID]]</f>
        <v xml:space="preserve"> -  - </v>
      </c>
      <c r="N76" s="90"/>
    </row>
    <row r="77" spans="8:14" x14ac:dyDescent="0.25">
      <c r="H77" s="91"/>
      <c r="I77" s="91"/>
      <c r="J77" s="97"/>
      <c r="K77" s="79"/>
      <c r="L77" s="79"/>
      <c r="M77" s="79" t="str">
        <f>Table72818224324048[[#This Row],[DBA]]&amp;" - "&amp;Table72818224324048[[#This Row],[BIN]]&amp;" - "&amp;Table72818224324048[[#This Row],[CAID]]</f>
        <v xml:space="preserve"> -  - </v>
      </c>
      <c r="N77" s="90"/>
    </row>
    <row r="78" spans="8:14" x14ac:dyDescent="0.25">
      <c r="H78" s="91"/>
      <c r="I78" s="91"/>
      <c r="J78" s="97"/>
      <c r="K78" s="79"/>
      <c r="L78" s="79"/>
      <c r="M78" s="79" t="str">
        <f>Table72818224324048[[#This Row],[DBA]]&amp;" - "&amp;Table72818224324048[[#This Row],[BIN]]&amp;" - "&amp;Table72818224324048[[#This Row],[CAID]]</f>
        <v xml:space="preserve"> -  - </v>
      </c>
      <c r="N78" s="90"/>
    </row>
    <row r="79" spans="8:14" x14ac:dyDescent="0.25">
      <c r="H79" s="91"/>
      <c r="I79" s="91"/>
      <c r="J79" s="97"/>
      <c r="K79" s="79"/>
      <c r="L79" s="79"/>
      <c r="M79" s="79" t="str">
        <f>Table72818224324048[[#This Row],[DBA]]&amp;" - "&amp;Table72818224324048[[#This Row],[BIN]]&amp;" - "&amp;Table72818224324048[[#This Row],[CAID]]</f>
        <v xml:space="preserve"> -  - </v>
      </c>
      <c r="N79" s="90"/>
    </row>
    <row r="80" spans="8:14" x14ac:dyDescent="0.25">
      <c r="H80" s="91"/>
      <c r="I80" s="91"/>
      <c r="J80" s="97"/>
      <c r="K80" s="79"/>
      <c r="L80" s="79"/>
      <c r="M80" s="79" t="str">
        <f>Table72818224324048[[#This Row],[DBA]]&amp;" - "&amp;Table72818224324048[[#This Row],[BIN]]&amp;" - "&amp;Table72818224324048[[#This Row],[CAID]]</f>
        <v xml:space="preserve"> -  - </v>
      </c>
      <c r="N80" s="90"/>
    </row>
    <row r="81" spans="8:14" x14ac:dyDescent="0.25">
      <c r="H81" s="91"/>
      <c r="I81" s="91"/>
      <c r="J81" s="97"/>
      <c r="K81" s="79"/>
      <c r="L81" s="79"/>
      <c r="M81" s="79" t="str">
        <f>Table72818224324048[[#This Row],[DBA]]&amp;" - "&amp;Table72818224324048[[#This Row],[BIN]]&amp;" - "&amp;Table72818224324048[[#This Row],[CAID]]</f>
        <v xml:space="preserve"> -  - </v>
      </c>
      <c r="N81" s="90"/>
    </row>
    <row r="82" spans="8:14" x14ac:dyDescent="0.25">
      <c r="H82" s="91"/>
      <c r="I82" s="91"/>
      <c r="J82" s="97"/>
      <c r="K82" s="79"/>
      <c r="L82" s="79"/>
      <c r="M82" s="79" t="str">
        <f>Table72818224324048[[#This Row],[DBA]]&amp;" - "&amp;Table72818224324048[[#This Row],[BIN]]&amp;" - "&amp;Table72818224324048[[#This Row],[CAID]]</f>
        <v xml:space="preserve"> -  - </v>
      </c>
      <c r="N82" s="90"/>
    </row>
    <row r="83" spans="8:14" x14ac:dyDescent="0.25">
      <c r="H83" s="91"/>
      <c r="I83" s="91"/>
      <c r="J83" s="97"/>
      <c r="K83" s="79"/>
      <c r="L83" s="79"/>
      <c r="M83" s="79" t="str">
        <f>Table72818224324048[[#This Row],[DBA]]&amp;" - "&amp;Table72818224324048[[#This Row],[BIN]]&amp;" - "&amp;Table72818224324048[[#This Row],[CAID]]</f>
        <v xml:space="preserve"> -  - </v>
      </c>
      <c r="N83" s="90"/>
    </row>
    <row r="84" spans="8:14" x14ac:dyDescent="0.25">
      <c r="H84" s="91"/>
      <c r="I84" s="91"/>
      <c r="J84" s="97"/>
      <c r="K84" s="79"/>
      <c r="L84" s="79"/>
      <c r="M84" s="79" t="str">
        <f>Table72818224324048[[#This Row],[DBA]]&amp;" - "&amp;Table72818224324048[[#This Row],[BIN]]&amp;" - "&amp;Table72818224324048[[#This Row],[CAID]]</f>
        <v xml:space="preserve"> -  - </v>
      </c>
      <c r="N84" s="90"/>
    </row>
    <row r="85" spans="8:14" x14ac:dyDescent="0.25">
      <c r="H85" s="91"/>
      <c r="I85" s="91"/>
      <c r="J85" s="97"/>
      <c r="K85" s="79"/>
      <c r="L85" s="79"/>
      <c r="M85" s="79" t="str">
        <f>Table72818224324048[[#This Row],[DBA]]&amp;" - "&amp;Table72818224324048[[#This Row],[BIN]]&amp;" - "&amp;Table72818224324048[[#This Row],[CAID]]</f>
        <v xml:space="preserve"> -  - </v>
      </c>
      <c r="N85" s="90"/>
    </row>
    <row r="86" spans="8:14" x14ac:dyDescent="0.25">
      <c r="H86" s="91"/>
      <c r="I86" s="91"/>
      <c r="J86" s="97"/>
      <c r="K86" s="79"/>
      <c r="L86" s="79"/>
      <c r="M86" s="79" t="str">
        <f>Table72818224324048[[#This Row],[DBA]]&amp;" - "&amp;Table72818224324048[[#This Row],[BIN]]&amp;" - "&amp;Table72818224324048[[#This Row],[CAID]]</f>
        <v xml:space="preserve"> -  - </v>
      </c>
      <c r="N86" s="90"/>
    </row>
    <row r="87" spans="8:14" x14ac:dyDescent="0.25">
      <c r="H87" s="91"/>
      <c r="I87" s="91"/>
      <c r="J87" s="97"/>
      <c r="K87" s="79"/>
      <c r="L87" s="79"/>
      <c r="M87" s="79" t="str">
        <f>Table72818224324048[[#This Row],[DBA]]&amp;" - "&amp;Table72818224324048[[#This Row],[BIN]]&amp;" - "&amp;Table72818224324048[[#This Row],[CAID]]</f>
        <v xml:space="preserve"> -  - </v>
      </c>
      <c r="N87" s="90"/>
    </row>
    <row r="88" spans="8:14" x14ac:dyDescent="0.25">
      <c r="H88" s="91"/>
      <c r="I88" s="91"/>
      <c r="J88" s="97"/>
      <c r="K88" s="79"/>
      <c r="L88" s="79"/>
      <c r="M88" s="79" t="str">
        <f>Table72818224324048[[#This Row],[DBA]]&amp;" - "&amp;Table72818224324048[[#This Row],[BIN]]&amp;" - "&amp;Table72818224324048[[#This Row],[CAID]]</f>
        <v xml:space="preserve"> -  - </v>
      </c>
      <c r="N88" s="90"/>
    </row>
    <row r="89" spans="8:14" x14ac:dyDescent="0.25">
      <c r="H89" s="91"/>
      <c r="I89" s="91"/>
      <c r="J89" s="97"/>
      <c r="K89" s="79"/>
      <c r="L89" s="79"/>
      <c r="M89" s="79" t="str">
        <f>Table72818224324048[[#This Row],[DBA]]&amp;" - "&amp;Table72818224324048[[#This Row],[BIN]]&amp;" - "&amp;Table72818224324048[[#This Row],[CAID]]</f>
        <v xml:space="preserve"> -  - </v>
      </c>
      <c r="N89" s="90"/>
    </row>
    <row r="90" spans="8:14" x14ac:dyDescent="0.25">
      <c r="H90" s="91"/>
      <c r="I90" s="91"/>
      <c r="J90" s="97"/>
      <c r="K90" s="79"/>
      <c r="L90" s="79"/>
      <c r="M90" s="79" t="str">
        <f>Table72818224324048[[#This Row],[DBA]]&amp;" - "&amp;Table72818224324048[[#This Row],[BIN]]&amp;" - "&amp;Table72818224324048[[#This Row],[CAID]]</f>
        <v xml:space="preserve"> -  - </v>
      </c>
      <c r="N90" s="90"/>
    </row>
    <row r="91" spans="8:14" x14ac:dyDescent="0.25">
      <c r="H91" s="91"/>
      <c r="I91" s="91"/>
      <c r="J91" s="97"/>
      <c r="K91" s="79"/>
      <c r="L91" s="79"/>
      <c r="M91" s="79" t="str">
        <f>Table72818224324048[[#This Row],[DBA]]&amp;" - "&amp;Table72818224324048[[#This Row],[BIN]]&amp;" - "&amp;Table72818224324048[[#This Row],[CAID]]</f>
        <v xml:space="preserve"> -  - </v>
      </c>
      <c r="N91" s="90"/>
    </row>
    <row r="92" spans="8:14" x14ac:dyDescent="0.25">
      <c r="H92" s="91"/>
      <c r="I92" s="91"/>
      <c r="J92" s="97"/>
      <c r="K92" s="79"/>
      <c r="L92" s="79"/>
      <c r="M92" s="79" t="str">
        <f>Table72818224324048[[#This Row],[DBA]]&amp;" - "&amp;Table72818224324048[[#This Row],[BIN]]&amp;" - "&amp;Table72818224324048[[#This Row],[CAID]]</f>
        <v xml:space="preserve"> -  - </v>
      </c>
      <c r="N92" s="90"/>
    </row>
    <row r="93" spans="8:14" x14ac:dyDescent="0.25">
      <c r="H93" s="91"/>
      <c r="I93" s="91"/>
      <c r="J93" s="97"/>
      <c r="K93" s="79"/>
      <c r="L93" s="79"/>
      <c r="M93" s="79" t="str">
        <f>Table72818224324048[[#This Row],[DBA]]&amp;" - "&amp;Table72818224324048[[#This Row],[BIN]]&amp;" - "&amp;Table72818224324048[[#This Row],[CAID]]</f>
        <v xml:space="preserve"> -  - </v>
      </c>
      <c r="N93" s="90"/>
    </row>
    <row r="94" spans="8:14" x14ac:dyDescent="0.25">
      <c r="H94" s="91"/>
      <c r="I94" s="91"/>
      <c r="J94" s="97"/>
      <c r="K94" s="79"/>
      <c r="L94" s="79"/>
      <c r="M94" s="79" t="str">
        <f>Table72818224324048[[#This Row],[DBA]]&amp;" - "&amp;Table72818224324048[[#This Row],[BIN]]&amp;" - "&amp;Table72818224324048[[#This Row],[CAID]]</f>
        <v xml:space="preserve"> -  - </v>
      </c>
      <c r="N94" s="90"/>
    </row>
    <row r="95" spans="8:14" x14ac:dyDescent="0.25">
      <c r="H95" s="91"/>
      <c r="I95" s="91"/>
      <c r="J95" s="97"/>
      <c r="K95" s="79"/>
      <c r="L95" s="79"/>
      <c r="M95" s="79" t="str">
        <f>Table72818224324048[[#This Row],[DBA]]&amp;" - "&amp;Table72818224324048[[#This Row],[BIN]]&amp;" - "&amp;Table72818224324048[[#This Row],[CAID]]</f>
        <v xml:space="preserve"> -  - </v>
      </c>
      <c r="N95" s="90"/>
    </row>
    <row r="96" spans="8:14" x14ac:dyDescent="0.25">
      <c r="H96" s="91"/>
      <c r="I96" s="91"/>
      <c r="J96" s="97"/>
      <c r="K96" s="79"/>
      <c r="L96" s="79"/>
      <c r="M96" s="79" t="str">
        <f>Table72818224324048[[#This Row],[DBA]]&amp;" - "&amp;Table72818224324048[[#This Row],[BIN]]&amp;" - "&amp;Table72818224324048[[#This Row],[CAID]]</f>
        <v xml:space="preserve"> -  - </v>
      </c>
      <c r="N96" s="90"/>
    </row>
    <row r="97" spans="8:14" x14ac:dyDescent="0.25">
      <c r="H97" s="91"/>
      <c r="I97" s="91"/>
      <c r="J97" s="97"/>
      <c r="K97" s="79"/>
      <c r="L97" s="79"/>
      <c r="M97" s="79" t="str">
        <f>Table72818224324048[[#This Row],[DBA]]&amp;" - "&amp;Table72818224324048[[#This Row],[BIN]]&amp;" - "&amp;Table72818224324048[[#This Row],[CAID]]</f>
        <v xml:space="preserve"> -  - </v>
      </c>
      <c r="N97" s="90"/>
    </row>
    <row r="98" spans="8:14" x14ac:dyDescent="0.25">
      <c r="H98" s="91"/>
      <c r="I98" s="91"/>
      <c r="J98" s="97"/>
      <c r="K98" s="79"/>
      <c r="L98" s="79"/>
      <c r="M98" s="79" t="str">
        <f>Table72818224324048[[#This Row],[DBA]]&amp;" - "&amp;Table72818224324048[[#This Row],[BIN]]&amp;" - "&amp;Table72818224324048[[#This Row],[CAID]]</f>
        <v xml:space="preserve"> -  - </v>
      </c>
      <c r="N98" s="90"/>
    </row>
    <row r="99" spans="8:14" x14ac:dyDescent="0.25">
      <c r="H99" s="91"/>
      <c r="I99" s="91"/>
      <c r="J99" s="97"/>
      <c r="K99" s="79"/>
      <c r="L99" s="79"/>
      <c r="M99" s="79" t="str">
        <f>Table72818224324048[[#This Row],[DBA]]&amp;" - "&amp;Table72818224324048[[#This Row],[BIN]]&amp;" - "&amp;Table72818224324048[[#This Row],[CAID]]</f>
        <v xml:space="preserve"> -  - </v>
      </c>
      <c r="N99" s="90"/>
    </row>
    <row r="100" spans="8:14" x14ac:dyDescent="0.25">
      <c r="H100" s="91"/>
      <c r="I100" s="91"/>
      <c r="J100" s="97"/>
      <c r="K100" s="79"/>
      <c r="L100" s="79"/>
      <c r="M100" s="79" t="str">
        <f>Table72818224324048[[#This Row],[DBA]]&amp;" - "&amp;Table72818224324048[[#This Row],[BIN]]&amp;" - "&amp;Table72818224324048[[#This Row],[CAID]]</f>
        <v xml:space="preserve"> -  - </v>
      </c>
      <c r="N100" s="90"/>
    </row>
    <row r="101" spans="8:14" x14ac:dyDescent="0.25">
      <c r="H101" s="91"/>
      <c r="I101" s="91"/>
      <c r="J101" s="97"/>
      <c r="K101" s="79"/>
      <c r="L101" s="79"/>
      <c r="M101" s="79" t="str">
        <f>Table72818224324048[[#This Row],[DBA]]&amp;" - "&amp;Table72818224324048[[#This Row],[BIN]]&amp;" - "&amp;Table72818224324048[[#This Row],[CAID]]</f>
        <v xml:space="preserve"> -  - </v>
      </c>
      <c r="N101" s="90"/>
    </row>
    <row r="102" spans="8:14" x14ac:dyDescent="0.25">
      <c r="H102" s="91"/>
      <c r="I102" s="91"/>
      <c r="J102" s="97"/>
      <c r="K102" s="79"/>
      <c r="L102" s="79"/>
      <c r="M102" s="79" t="str">
        <f>Table72818224324048[[#This Row],[DBA]]&amp;" - "&amp;Table72818224324048[[#This Row],[BIN]]&amp;" - "&amp;Table72818224324048[[#This Row],[CAID]]</f>
        <v xml:space="preserve"> -  - </v>
      </c>
      <c r="N102" s="90"/>
    </row>
    <row r="103" spans="8:14" x14ac:dyDescent="0.25">
      <c r="H103" s="91"/>
      <c r="I103" s="91"/>
      <c r="J103" s="97"/>
      <c r="K103" s="79"/>
      <c r="L103" s="79"/>
      <c r="M103" s="79" t="str">
        <f>Table72818224324048[[#This Row],[DBA]]&amp;" - "&amp;Table72818224324048[[#This Row],[BIN]]&amp;" - "&amp;Table72818224324048[[#This Row],[CAID]]</f>
        <v xml:space="preserve"> -  - </v>
      </c>
      <c r="N103" s="90"/>
    </row>
    <row r="104" spans="8:14" x14ac:dyDescent="0.25">
      <c r="H104" s="91"/>
      <c r="I104" s="91"/>
      <c r="J104" s="97"/>
      <c r="K104" s="79"/>
      <c r="L104" s="79"/>
      <c r="M104" s="79" t="str">
        <f>Table72818224324048[[#This Row],[DBA]]&amp;" - "&amp;Table72818224324048[[#This Row],[BIN]]&amp;" - "&amp;Table72818224324048[[#This Row],[CAID]]</f>
        <v xml:space="preserve"> -  - </v>
      </c>
      <c r="N104" s="90"/>
    </row>
    <row r="105" spans="8:14" x14ac:dyDescent="0.25">
      <c r="H105" s="91"/>
      <c r="I105" s="91"/>
      <c r="J105" s="97"/>
      <c r="K105" s="79"/>
      <c r="L105" s="79"/>
      <c r="M105" s="79" t="str">
        <f>Table72818224324048[[#This Row],[DBA]]&amp;" - "&amp;Table72818224324048[[#This Row],[BIN]]&amp;" - "&amp;Table72818224324048[[#This Row],[CAID]]</f>
        <v xml:space="preserve"> -  - </v>
      </c>
      <c r="N105" s="90"/>
    </row>
    <row r="106" spans="8:14" x14ac:dyDescent="0.25">
      <c r="H106" s="91"/>
      <c r="I106" s="91"/>
      <c r="J106" s="97"/>
      <c r="K106" s="79"/>
      <c r="L106" s="79"/>
      <c r="M106" s="79" t="str">
        <f>Table72818224324048[[#This Row],[DBA]]&amp;" - "&amp;Table72818224324048[[#This Row],[BIN]]&amp;" - "&amp;Table72818224324048[[#This Row],[CAID]]</f>
        <v xml:space="preserve"> -  - </v>
      </c>
      <c r="N106" s="90"/>
    </row>
    <row r="107" spans="8:14" x14ac:dyDescent="0.25">
      <c r="H107" s="91"/>
      <c r="I107" s="91"/>
      <c r="J107" s="97"/>
      <c r="K107" s="79"/>
      <c r="L107" s="79"/>
      <c r="M107" s="79" t="str">
        <f>Table72818224324048[[#This Row],[DBA]]&amp;" - "&amp;Table72818224324048[[#This Row],[BIN]]&amp;" - "&amp;Table72818224324048[[#This Row],[CAID]]</f>
        <v xml:space="preserve"> -  - </v>
      </c>
      <c r="N107" s="90"/>
    </row>
    <row r="108" spans="8:14" x14ac:dyDescent="0.25">
      <c r="H108" s="91"/>
      <c r="I108" s="91"/>
      <c r="J108" s="97"/>
      <c r="K108" s="79"/>
      <c r="L108" s="79"/>
      <c r="M108" s="79" t="str">
        <f>Table72818224324048[[#This Row],[DBA]]&amp;" - "&amp;Table72818224324048[[#This Row],[BIN]]&amp;" - "&amp;Table72818224324048[[#This Row],[CAID]]</f>
        <v xml:space="preserve"> -  - </v>
      </c>
      <c r="N108" s="90"/>
    </row>
    <row r="109" spans="8:14" x14ac:dyDescent="0.25">
      <c r="H109" s="91"/>
      <c r="I109" s="91"/>
      <c r="J109" s="97"/>
      <c r="K109" s="79"/>
      <c r="L109" s="79"/>
      <c r="M109" s="79" t="str">
        <f>Table72818224324048[[#This Row],[DBA]]&amp;" - "&amp;Table72818224324048[[#This Row],[BIN]]&amp;" - "&amp;Table72818224324048[[#This Row],[CAID]]</f>
        <v xml:space="preserve"> -  - </v>
      </c>
      <c r="N109" s="90"/>
    </row>
    <row r="110" spans="8:14" x14ac:dyDescent="0.25">
      <c r="H110" s="91"/>
      <c r="I110" s="91"/>
      <c r="J110" s="97"/>
      <c r="K110" s="79"/>
      <c r="L110" s="79"/>
      <c r="M110" s="79" t="str">
        <f>Table72818224324048[[#This Row],[DBA]]&amp;" - "&amp;Table72818224324048[[#This Row],[BIN]]&amp;" - "&amp;Table72818224324048[[#This Row],[CAID]]</f>
        <v xml:space="preserve"> -  - </v>
      </c>
      <c r="N110" s="90"/>
    </row>
    <row r="111" spans="8:14" x14ac:dyDescent="0.25">
      <c r="H111" s="91"/>
      <c r="I111" s="91"/>
      <c r="J111" s="97"/>
      <c r="K111" s="79"/>
      <c r="L111" s="79"/>
      <c r="M111" s="79" t="str">
        <f>Table72818224324048[[#This Row],[DBA]]&amp;" - "&amp;Table72818224324048[[#This Row],[BIN]]&amp;" - "&amp;Table72818224324048[[#This Row],[CAID]]</f>
        <v xml:space="preserve"> -  - </v>
      </c>
      <c r="N111" s="90"/>
    </row>
    <row r="112" spans="8:14" x14ac:dyDescent="0.25">
      <c r="H112" s="91"/>
      <c r="I112" s="91"/>
      <c r="J112" s="97"/>
      <c r="K112" s="79"/>
      <c r="L112" s="79"/>
      <c r="M112" s="79" t="str">
        <f>Table72818224324048[[#This Row],[DBA]]&amp;" - "&amp;Table72818224324048[[#This Row],[BIN]]&amp;" - "&amp;Table72818224324048[[#This Row],[CAID]]</f>
        <v xml:space="preserve"> -  - </v>
      </c>
      <c r="N112" s="90"/>
    </row>
    <row r="113" spans="8:14" x14ac:dyDescent="0.25">
      <c r="H113" s="91"/>
      <c r="I113" s="91"/>
      <c r="J113" s="97"/>
      <c r="K113" s="79"/>
      <c r="L113" s="79"/>
      <c r="M113" s="79" t="str">
        <f>Table72818224324048[[#This Row],[DBA]]&amp;" - "&amp;Table72818224324048[[#This Row],[BIN]]&amp;" - "&amp;Table72818224324048[[#This Row],[CAID]]</f>
        <v xml:space="preserve"> -  - </v>
      </c>
      <c r="N113" s="90"/>
    </row>
    <row r="114" spans="8:14" x14ac:dyDescent="0.25">
      <c r="H114" s="91"/>
      <c r="I114" s="91"/>
      <c r="J114" s="97"/>
      <c r="K114" s="79"/>
      <c r="L114" s="79"/>
      <c r="M114" s="79" t="str">
        <f>Table72818224324048[[#This Row],[DBA]]&amp;" - "&amp;Table72818224324048[[#This Row],[BIN]]&amp;" - "&amp;Table72818224324048[[#This Row],[CAID]]</f>
        <v xml:space="preserve"> -  - </v>
      </c>
      <c r="N114" s="90"/>
    </row>
    <row r="115" spans="8:14" x14ac:dyDescent="0.25">
      <c r="H115" s="91"/>
      <c r="I115" s="91"/>
      <c r="J115" s="97"/>
      <c r="K115" s="79"/>
      <c r="L115" s="79"/>
      <c r="M115" s="79" t="str">
        <f>Table72818224324048[[#This Row],[DBA]]&amp;" - "&amp;Table72818224324048[[#This Row],[BIN]]&amp;" - "&amp;Table72818224324048[[#This Row],[CAID]]</f>
        <v xml:space="preserve"> -  - </v>
      </c>
      <c r="N115" s="90"/>
    </row>
    <row r="116" spans="8:14" x14ac:dyDescent="0.25">
      <c r="H116" s="91"/>
      <c r="I116" s="91"/>
      <c r="J116" s="97"/>
      <c r="K116" s="79"/>
      <c r="L116" s="79"/>
      <c r="M116" s="79" t="str">
        <f>Table72818224324048[[#This Row],[DBA]]&amp;" - "&amp;Table72818224324048[[#This Row],[BIN]]&amp;" - "&amp;Table72818224324048[[#This Row],[CAID]]</f>
        <v xml:space="preserve"> -  - </v>
      </c>
      <c r="N116" s="90"/>
    </row>
    <row r="117" spans="8:14" x14ac:dyDescent="0.25">
      <c r="H117" s="91"/>
      <c r="I117" s="91"/>
      <c r="J117" s="97"/>
      <c r="K117" s="79"/>
      <c r="L117" s="79"/>
      <c r="M117" s="79" t="str">
        <f>Table72818224324048[[#This Row],[DBA]]&amp;" - "&amp;Table72818224324048[[#This Row],[BIN]]&amp;" - "&amp;Table72818224324048[[#This Row],[CAID]]</f>
        <v xml:space="preserve"> -  - </v>
      </c>
      <c r="N117" s="90"/>
    </row>
    <row r="118" spans="8:14" x14ac:dyDescent="0.25">
      <c r="H118" s="91"/>
      <c r="I118" s="91"/>
      <c r="J118" s="97"/>
      <c r="K118" s="79"/>
      <c r="L118" s="79"/>
      <c r="M118" s="79" t="str">
        <f>Table72818224324048[[#This Row],[DBA]]&amp;" - "&amp;Table72818224324048[[#This Row],[BIN]]&amp;" - "&amp;Table72818224324048[[#This Row],[CAID]]</f>
        <v xml:space="preserve"> -  - </v>
      </c>
      <c r="N118" s="90"/>
    </row>
    <row r="119" spans="8:14" x14ac:dyDescent="0.25">
      <c r="H119" s="91"/>
      <c r="I119" s="91"/>
      <c r="J119" s="97"/>
      <c r="K119" s="79"/>
      <c r="L119" s="79"/>
      <c r="M119" s="79" t="str">
        <f>Table72818224324048[[#This Row],[DBA]]&amp;" - "&amp;Table72818224324048[[#This Row],[BIN]]&amp;" - "&amp;Table72818224324048[[#This Row],[CAID]]</f>
        <v xml:space="preserve"> -  - </v>
      </c>
      <c r="N119" s="90"/>
    </row>
    <row r="120" spans="8:14" x14ac:dyDescent="0.25">
      <c r="H120" s="91"/>
      <c r="I120" s="91"/>
      <c r="J120" s="97"/>
      <c r="K120" s="79"/>
      <c r="L120" s="79"/>
      <c r="M120" s="79" t="str">
        <f>Table72818224324048[[#This Row],[DBA]]&amp;" - "&amp;Table72818224324048[[#This Row],[BIN]]&amp;" - "&amp;Table72818224324048[[#This Row],[CAID]]</f>
        <v xml:space="preserve"> -  - </v>
      </c>
      <c r="N120" s="90"/>
    </row>
    <row r="121" spans="8:14" x14ac:dyDescent="0.25">
      <c r="H121" s="91"/>
      <c r="I121" s="91"/>
      <c r="J121" s="97"/>
      <c r="K121" s="79"/>
      <c r="L121" s="79"/>
      <c r="M121" s="79" t="str">
        <f>Table72818224324048[[#This Row],[DBA]]&amp;" - "&amp;Table72818224324048[[#This Row],[BIN]]&amp;" - "&amp;Table72818224324048[[#This Row],[CAID]]</f>
        <v xml:space="preserve"> -  - </v>
      </c>
      <c r="N121" s="90"/>
    </row>
    <row r="122" spans="8:14" x14ac:dyDescent="0.25">
      <c r="H122" s="91"/>
      <c r="I122" s="91"/>
      <c r="J122" s="97"/>
      <c r="K122" s="79"/>
      <c r="L122" s="79"/>
      <c r="M122" s="79" t="str">
        <f>Table72818224324048[[#This Row],[DBA]]&amp;" - "&amp;Table72818224324048[[#This Row],[BIN]]&amp;" - "&amp;Table72818224324048[[#This Row],[CAID]]</f>
        <v xml:space="preserve"> -  - </v>
      </c>
      <c r="N122" s="90"/>
    </row>
    <row r="123" spans="8:14" x14ac:dyDescent="0.25">
      <c r="H123" s="91"/>
      <c r="I123" s="91"/>
      <c r="J123" s="97"/>
      <c r="K123" s="79"/>
      <c r="L123" s="79"/>
      <c r="M123" s="79" t="str">
        <f>Table72818224324048[[#This Row],[DBA]]&amp;" - "&amp;Table72818224324048[[#This Row],[BIN]]&amp;" - "&amp;Table72818224324048[[#This Row],[CAID]]</f>
        <v xml:space="preserve"> -  - </v>
      </c>
      <c r="N123" s="90"/>
    </row>
    <row r="124" spans="8:14" x14ac:dyDescent="0.25">
      <c r="H124" s="91"/>
      <c r="I124" s="91"/>
      <c r="J124" s="97"/>
      <c r="K124" s="79"/>
      <c r="L124" s="79"/>
      <c r="M124" s="79" t="str">
        <f>Table72818224324048[[#This Row],[DBA]]&amp;" - "&amp;Table72818224324048[[#This Row],[BIN]]&amp;" - "&amp;Table72818224324048[[#This Row],[CAID]]</f>
        <v xml:space="preserve"> -  - </v>
      </c>
      <c r="N124" s="90"/>
    </row>
    <row r="125" spans="8:14" x14ac:dyDescent="0.25">
      <c r="H125" s="91"/>
      <c r="I125" s="91"/>
      <c r="J125" s="97"/>
      <c r="K125" s="79"/>
      <c r="L125" s="79"/>
      <c r="M125" s="79" t="str">
        <f>Table72818224324048[[#This Row],[DBA]]&amp;" - "&amp;Table72818224324048[[#This Row],[BIN]]&amp;" - "&amp;Table72818224324048[[#This Row],[CAID]]</f>
        <v xml:space="preserve"> -  - </v>
      </c>
      <c r="N125" s="90"/>
    </row>
    <row r="126" spans="8:14" x14ac:dyDescent="0.25">
      <c r="H126" s="91"/>
      <c r="I126" s="91"/>
      <c r="J126" s="97"/>
      <c r="K126" s="79"/>
      <c r="L126" s="79"/>
      <c r="M126" s="79" t="str">
        <f>Table72818224324048[[#This Row],[DBA]]&amp;" - "&amp;Table72818224324048[[#This Row],[BIN]]&amp;" - "&amp;Table72818224324048[[#This Row],[CAID]]</f>
        <v xml:space="preserve"> -  - </v>
      </c>
      <c r="N126" s="90"/>
    </row>
    <row r="127" spans="8:14" x14ac:dyDescent="0.25">
      <c r="H127" s="91"/>
      <c r="I127" s="91"/>
      <c r="J127" s="97"/>
      <c r="K127" s="79"/>
      <c r="L127" s="79"/>
      <c r="M127" s="79" t="str">
        <f>Table72818224324048[[#This Row],[DBA]]&amp;" - "&amp;Table72818224324048[[#This Row],[BIN]]&amp;" - "&amp;Table72818224324048[[#This Row],[CAID]]</f>
        <v xml:space="preserve"> -  - </v>
      </c>
      <c r="N127" s="90"/>
    </row>
    <row r="128" spans="8:14" x14ac:dyDescent="0.25">
      <c r="H128" s="91"/>
      <c r="I128" s="91"/>
      <c r="J128" s="97"/>
      <c r="K128" s="79"/>
      <c r="L128" s="79"/>
      <c r="M128" s="79" t="str">
        <f>Table72818224324048[[#This Row],[DBA]]&amp;" - "&amp;Table72818224324048[[#This Row],[BIN]]&amp;" - "&amp;Table72818224324048[[#This Row],[CAID]]</f>
        <v xml:space="preserve"> -  - </v>
      </c>
      <c r="N128" s="90"/>
    </row>
    <row r="129" spans="8:14" x14ac:dyDescent="0.25">
      <c r="H129" s="91"/>
      <c r="I129" s="91"/>
      <c r="J129" s="97"/>
      <c r="K129" s="79"/>
      <c r="L129" s="79"/>
      <c r="M129" s="79" t="str">
        <f>Table72818224324048[[#This Row],[DBA]]&amp;" - "&amp;Table72818224324048[[#This Row],[BIN]]&amp;" - "&amp;Table72818224324048[[#This Row],[CAID]]</f>
        <v xml:space="preserve"> -  - </v>
      </c>
      <c r="N129" s="90"/>
    </row>
    <row r="130" spans="8:14" x14ac:dyDescent="0.25">
      <c r="H130" s="91"/>
      <c r="I130" s="91"/>
      <c r="J130" s="97"/>
      <c r="K130" s="79"/>
      <c r="L130" s="79"/>
      <c r="M130" s="79" t="str">
        <f>Table72818224324048[[#This Row],[DBA]]&amp;" - "&amp;Table72818224324048[[#This Row],[BIN]]&amp;" - "&amp;Table72818224324048[[#This Row],[CAID]]</f>
        <v xml:space="preserve"> -  - </v>
      </c>
      <c r="N130" s="90"/>
    </row>
    <row r="131" spans="8:14" x14ac:dyDescent="0.25">
      <c r="H131" s="91"/>
      <c r="I131" s="91"/>
      <c r="J131" s="97"/>
      <c r="K131" s="79"/>
      <c r="L131" s="79"/>
      <c r="M131" s="79" t="str">
        <f>Table72818224324048[[#This Row],[DBA]]&amp;" - "&amp;Table72818224324048[[#This Row],[BIN]]&amp;" - "&amp;Table72818224324048[[#This Row],[CAID]]</f>
        <v xml:space="preserve"> -  - </v>
      </c>
      <c r="N131" s="90"/>
    </row>
    <row r="132" spans="8:14" x14ac:dyDescent="0.25">
      <c r="H132" s="91"/>
      <c r="I132" s="91"/>
      <c r="J132" s="97"/>
      <c r="K132" s="79"/>
      <c r="L132" s="79"/>
      <c r="M132" s="79" t="str">
        <f>Table72818224324048[[#This Row],[DBA]]&amp;" - "&amp;Table72818224324048[[#This Row],[BIN]]&amp;" - "&amp;Table72818224324048[[#This Row],[CAID]]</f>
        <v xml:space="preserve"> -  - </v>
      </c>
      <c r="N132" s="90"/>
    </row>
    <row r="133" spans="8:14" x14ac:dyDescent="0.25">
      <c r="H133" s="91"/>
      <c r="I133" s="91"/>
      <c r="J133" s="97"/>
      <c r="K133" s="79"/>
      <c r="L133" s="79"/>
      <c r="M133" s="79" t="str">
        <f>Table72818224324048[[#This Row],[DBA]]&amp;" - "&amp;Table72818224324048[[#This Row],[BIN]]&amp;" - "&amp;Table72818224324048[[#This Row],[CAID]]</f>
        <v xml:space="preserve"> -  - </v>
      </c>
      <c r="N133" s="90"/>
    </row>
    <row r="134" spans="8:14" x14ac:dyDescent="0.25">
      <c r="H134" s="91"/>
      <c r="I134" s="91"/>
      <c r="J134" s="97"/>
      <c r="K134" s="79"/>
      <c r="L134" s="79"/>
      <c r="M134" s="79" t="str">
        <f>Table72818224324048[[#This Row],[DBA]]&amp;" - "&amp;Table72818224324048[[#This Row],[BIN]]&amp;" - "&amp;Table72818224324048[[#This Row],[CAID]]</f>
        <v xml:space="preserve"> -  - </v>
      </c>
      <c r="N134" s="90"/>
    </row>
    <row r="135" spans="8:14" x14ac:dyDescent="0.25">
      <c r="H135" s="91"/>
      <c r="I135" s="91"/>
      <c r="J135" s="97"/>
      <c r="K135" s="79"/>
      <c r="L135" s="79"/>
      <c r="M135" s="79" t="str">
        <f>Table72818224324048[[#This Row],[DBA]]&amp;" - "&amp;Table72818224324048[[#This Row],[BIN]]&amp;" - "&amp;Table72818224324048[[#This Row],[CAID]]</f>
        <v xml:space="preserve"> -  - </v>
      </c>
      <c r="N135" s="90"/>
    </row>
    <row r="136" spans="8:14" x14ac:dyDescent="0.25">
      <c r="H136" s="91"/>
      <c r="I136" s="91"/>
      <c r="J136" s="97"/>
      <c r="K136" s="79"/>
      <c r="L136" s="79"/>
      <c r="M136" s="79" t="str">
        <f>Table72818224324048[[#This Row],[DBA]]&amp;" - "&amp;Table72818224324048[[#This Row],[BIN]]&amp;" - "&amp;Table72818224324048[[#This Row],[CAID]]</f>
        <v xml:space="preserve"> -  - </v>
      </c>
      <c r="N136" s="90"/>
    </row>
    <row r="137" spans="8:14" x14ac:dyDescent="0.25">
      <c r="H137" s="91"/>
      <c r="I137" s="91"/>
      <c r="J137" s="97"/>
      <c r="K137" s="79"/>
      <c r="L137" s="79"/>
      <c r="M137" s="79" t="str">
        <f>Table72818224324048[[#This Row],[DBA]]&amp;" - "&amp;Table72818224324048[[#This Row],[BIN]]&amp;" - "&amp;Table72818224324048[[#This Row],[CAID]]</f>
        <v xml:space="preserve"> -  - </v>
      </c>
      <c r="N137" s="90"/>
    </row>
    <row r="138" spans="8:14" x14ac:dyDescent="0.25">
      <c r="H138" s="91"/>
      <c r="I138" s="91"/>
      <c r="J138" s="97"/>
      <c r="K138" s="79"/>
      <c r="L138" s="79"/>
      <c r="M138" s="79" t="str">
        <f>Table72818224324048[[#This Row],[DBA]]&amp;" - "&amp;Table72818224324048[[#This Row],[BIN]]&amp;" - "&amp;Table72818224324048[[#This Row],[CAID]]</f>
        <v xml:space="preserve"> -  - </v>
      </c>
      <c r="N138" s="90"/>
    </row>
    <row r="139" spans="8:14" x14ac:dyDescent="0.25">
      <c r="H139" s="91"/>
      <c r="I139" s="91"/>
      <c r="J139" s="97"/>
      <c r="K139" s="79"/>
      <c r="L139" s="79"/>
      <c r="M139" s="79" t="str">
        <f>Table72818224324048[[#This Row],[DBA]]&amp;" - "&amp;Table72818224324048[[#This Row],[BIN]]&amp;" - "&amp;Table72818224324048[[#This Row],[CAID]]</f>
        <v xml:space="preserve"> -  - </v>
      </c>
      <c r="N139" s="90"/>
    </row>
    <row r="140" spans="8:14" x14ac:dyDescent="0.25">
      <c r="H140" s="91"/>
      <c r="I140" s="91"/>
      <c r="J140" s="97"/>
      <c r="K140" s="79"/>
      <c r="L140" s="79"/>
      <c r="M140" s="79" t="str">
        <f>Table72818224324048[[#This Row],[DBA]]&amp;" - "&amp;Table72818224324048[[#This Row],[BIN]]&amp;" - "&amp;Table72818224324048[[#This Row],[CAID]]</f>
        <v xml:space="preserve"> -  - </v>
      </c>
      <c r="N140" s="90"/>
    </row>
    <row r="141" spans="8:14" x14ac:dyDescent="0.25">
      <c r="H141" s="91"/>
      <c r="I141" s="91"/>
      <c r="J141" s="97"/>
      <c r="K141" s="79"/>
      <c r="L141" s="79"/>
      <c r="M141" s="79" t="str">
        <f>Table72818224324048[[#This Row],[DBA]]&amp;" - "&amp;Table72818224324048[[#This Row],[BIN]]&amp;" - "&amp;Table72818224324048[[#This Row],[CAID]]</f>
        <v xml:space="preserve"> -  - </v>
      </c>
      <c r="N141" s="90"/>
    </row>
    <row r="142" spans="8:14" x14ac:dyDescent="0.25">
      <c r="H142" s="91"/>
      <c r="I142" s="91"/>
      <c r="J142" s="97"/>
      <c r="K142" s="79"/>
      <c r="L142" s="79"/>
      <c r="M142" s="79" t="str">
        <f>Table72818224324048[[#This Row],[DBA]]&amp;" - "&amp;Table72818224324048[[#This Row],[BIN]]&amp;" - "&amp;Table72818224324048[[#This Row],[CAID]]</f>
        <v xml:space="preserve"> -  - </v>
      </c>
      <c r="N142" s="90"/>
    </row>
    <row r="143" spans="8:14" x14ac:dyDescent="0.25">
      <c r="H143" s="91"/>
      <c r="I143" s="91"/>
      <c r="J143" s="97"/>
      <c r="K143" s="79"/>
      <c r="L143" s="79"/>
      <c r="M143" s="79" t="str">
        <f>Table72818224324048[[#This Row],[DBA]]&amp;" - "&amp;Table72818224324048[[#This Row],[BIN]]&amp;" - "&amp;Table72818224324048[[#This Row],[CAID]]</f>
        <v xml:space="preserve"> -  - </v>
      </c>
      <c r="N143" s="90"/>
    </row>
    <row r="144" spans="8:14" x14ac:dyDescent="0.25">
      <c r="H144" s="91"/>
      <c r="I144" s="91"/>
      <c r="J144" s="97"/>
      <c r="K144" s="79"/>
      <c r="L144" s="79"/>
      <c r="M144" s="79" t="str">
        <f>Table72818224324048[[#This Row],[DBA]]&amp;" - "&amp;Table72818224324048[[#This Row],[BIN]]&amp;" - "&amp;Table72818224324048[[#This Row],[CAID]]</f>
        <v xml:space="preserve"> -  - </v>
      </c>
      <c r="N144" s="90"/>
    </row>
    <row r="145" spans="8:14" x14ac:dyDescent="0.25">
      <c r="H145" s="91"/>
      <c r="I145" s="91"/>
      <c r="J145" s="97"/>
      <c r="K145" s="79"/>
      <c r="L145" s="79"/>
      <c r="M145" s="79" t="str">
        <f>Table72818224324048[[#This Row],[DBA]]&amp;" - "&amp;Table72818224324048[[#This Row],[BIN]]&amp;" - "&amp;Table72818224324048[[#This Row],[CAID]]</f>
        <v xml:space="preserve"> -  - </v>
      </c>
      <c r="N145" s="90"/>
    </row>
    <row r="146" spans="8:14" x14ac:dyDescent="0.25">
      <c r="H146" s="91"/>
      <c r="I146" s="91"/>
      <c r="J146" s="97"/>
      <c r="K146" s="79"/>
      <c r="L146" s="79"/>
      <c r="M146" s="79" t="str">
        <f>Table72818224324048[[#This Row],[DBA]]&amp;" - "&amp;Table72818224324048[[#This Row],[BIN]]&amp;" - "&amp;Table72818224324048[[#This Row],[CAID]]</f>
        <v xml:space="preserve"> -  - </v>
      </c>
      <c r="N146" s="90"/>
    </row>
    <row r="147" spans="8:14" x14ac:dyDescent="0.25">
      <c r="H147" s="91"/>
      <c r="I147" s="91"/>
      <c r="J147" s="97"/>
      <c r="K147" s="79"/>
      <c r="L147" s="79"/>
      <c r="M147" s="79" t="str">
        <f>Table72818224324048[[#This Row],[DBA]]&amp;" - "&amp;Table72818224324048[[#This Row],[BIN]]&amp;" - "&amp;Table72818224324048[[#This Row],[CAID]]</f>
        <v xml:space="preserve"> -  - </v>
      </c>
      <c r="N147" s="90"/>
    </row>
    <row r="148" spans="8:14" x14ac:dyDescent="0.25">
      <c r="H148" s="91"/>
      <c r="I148" s="91"/>
      <c r="J148" s="97"/>
      <c r="K148" s="79"/>
      <c r="L148" s="79"/>
      <c r="M148" s="79" t="str">
        <f>Table72818224324048[[#This Row],[DBA]]&amp;" - "&amp;Table72818224324048[[#This Row],[BIN]]&amp;" - "&amp;Table72818224324048[[#This Row],[CAID]]</f>
        <v xml:space="preserve"> -  - </v>
      </c>
      <c r="N148" s="90"/>
    </row>
    <row r="149" spans="8:14" x14ac:dyDescent="0.25">
      <c r="H149" s="91"/>
      <c r="I149" s="91"/>
      <c r="J149" s="97"/>
      <c r="K149" s="79"/>
      <c r="L149" s="79"/>
      <c r="M149" s="79" t="str">
        <f>Table72818224324048[[#This Row],[DBA]]&amp;" - "&amp;Table72818224324048[[#This Row],[BIN]]&amp;" - "&amp;Table72818224324048[[#This Row],[CAID]]</f>
        <v xml:space="preserve"> -  - </v>
      </c>
      <c r="N149" s="90"/>
    </row>
    <row r="150" spans="8:14" x14ac:dyDescent="0.25">
      <c r="H150" s="91"/>
      <c r="I150" s="91"/>
      <c r="J150" s="97"/>
      <c r="K150" s="79"/>
      <c r="L150" s="79"/>
      <c r="M150" s="79" t="str">
        <f>Table72818224324048[[#This Row],[DBA]]&amp;" - "&amp;Table72818224324048[[#This Row],[BIN]]&amp;" - "&amp;Table72818224324048[[#This Row],[CAID]]</f>
        <v xml:space="preserve"> -  - </v>
      </c>
      <c r="N150" s="90"/>
    </row>
    <row r="151" spans="8:14" x14ac:dyDescent="0.25">
      <c r="H151" s="91"/>
      <c r="I151" s="91"/>
      <c r="J151" s="97"/>
      <c r="K151" s="79"/>
      <c r="L151" s="79"/>
      <c r="M151" s="79" t="str">
        <f>Table72818224324048[[#This Row],[DBA]]&amp;" - "&amp;Table72818224324048[[#This Row],[BIN]]&amp;" - "&amp;Table72818224324048[[#This Row],[CAID]]</f>
        <v xml:space="preserve"> -  - </v>
      </c>
      <c r="N151" s="90"/>
    </row>
    <row r="152" spans="8:14" x14ac:dyDescent="0.25">
      <c r="H152" s="91"/>
      <c r="I152" s="91"/>
      <c r="J152" s="97"/>
      <c r="K152" s="79"/>
      <c r="L152" s="79"/>
      <c r="M152" s="79" t="str">
        <f>Table72818224324048[[#This Row],[DBA]]&amp;" - "&amp;Table72818224324048[[#This Row],[BIN]]&amp;" - "&amp;Table72818224324048[[#This Row],[CAID]]</f>
        <v xml:space="preserve"> -  - </v>
      </c>
      <c r="N152" s="90"/>
    </row>
    <row r="153" spans="8:14" x14ac:dyDescent="0.25">
      <c r="H153" s="91"/>
      <c r="I153" s="91"/>
      <c r="J153" s="97"/>
      <c r="K153" s="79"/>
      <c r="L153" s="79"/>
      <c r="M153" s="79" t="str">
        <f>Table72818224324048[[#This Row],[DBA]]&amp;" - "&amp;Table72818224324048[[#This Row],[BIN]]&amp;" - "&amp;Table72818224324048[[#This Row],[CAID]]</f>
        <v xml:space="preserve"> -  - </v>
      </c>
      <c r="N153" s="90"/>
    </row>
    <row r="154" spans="8:14" x14ac:dyDescent="0.25">
      <c r="H154" s="91"/>
      <c r="I154" s="91"/>
      <c r="J154" s="97"/>
      <c r="K154" s="79"/>
      <c r="L154" s="79"/>
      <c r="M154" s="79" t="str">
        <f>Table72818224324048[[#This Row],[DBA]]&amp;" - "&amp;Table72818224324048[[#This Row],[BIN]]&amp;" - "&amp;Table72818224324048[[#This Row],[CAID]]</f>
        <v xml:space="preserve"> -  - </v>
      </c>
      <c r="N154" s="90"/>
    </row>
    <row r="155" spans="8:14" x14ac:dyDescent="0.25">
      <c r="H155" s="91"/>
      <c r="I155" s="91"/>
      <c r="J155" s="97"/>
      <c r="K155" s="79"/>
      <c r="L155" s="79"/>
      <c r="M155" s="79" t="str">
        <f>Table72818224324048[[#This Row],[DBA]]&amp;" - "&amp;Table72818224324048[[#This Row],[BIN]]&amp;" - "&amp;Table72818224324048[[#This Row],[CAID]]</f>
        <v xml:space="preserve"> -  - </v>
      </c>
      <c r="N155" s="90"/>
    </row>
    <row r="156" spans="8:14" x14ac:dyDescent="0.25">
      <c r="H156" s="91"/>
      <c r="I156" s="91"/>
      <c r="J156" s="97"/>
      <c r="K156" s="79"/>
      <c r="L156" s="79"/>
      <c r="M156" s="79" t="str">
        <f>Table72818224324048[[#This Row],[DBA]]&amp;" - "&amp;Table72818224324048[[#This Row],[BIN]]&amp;" - "&amp;Table72818224324048[[#This Row],[CAID]]</f>
        <v xml:space="preserve"> -  - </v>
      </c>
      <c r="N156" s="90"/>
    </row>
    <row r="157" spans="8:14" x14ac:dyDescent="0.25">
      <c r="H157" s="91"/>
      <c r="I157" s="91"/>
      <c r="J157" s="97"/>
      <c r="K157" s="79"/>
      <c r="L157" s="79"/>
      <c r="M157" s="79" t="str">
        <f>Table72818224324048[[#This Row],[DBA]]&amp;" - "&amp;Table72818224324048[[#This Row],[BIN]]&amp;" - "&amp;Table72818224324048[[#This Row],[CAID]]</f>
        <v xml:space="preserve"> -  - </v>
      </c>
      <c r="N157" s="90"/>
    </row>
    <row r="158" spans="8:14" x14ac:dyDescent="0.25">
      <c r="H158" s="91"/>
      <c r="I158" s="91"/>
      <c r="J158" s="97"/>
      <c r="K158" s="79"/>
      <c r="L158" s="79"/>
      <c r="M158" s="79" t="str">
        <f>Table72818224324048[[#This Row],[DBA]]&amp;" - "&amp;Table72818224324048[[#This Row],[BIN]]&amp;" - "&amp;Table72818224324048[[#This Row],[CAID]]</f>
        <v xml:space="preserve"> -  - </v>
      </c>
      <c r="N158" s="90"/>
    </row>
    <row r="159" spans="8:14" x14ac:dyDescent="0.25">
      <c r="H159" s="91"/>
      <c r="I159" s="91"/>
      <c r="J159" s="97"/>
      <c r="K159" s="79"/>
      <c r="L159" s="79"/>
      <c r="M159" s="79" t="str">
        <f>Table72818224324048[[#This Row],[DBA]]&amp;" - "&amp;Table72818224324048[[#This Row],[BIN]]&amp;" - "&amp;Table72818224324048[[#This Row],[CAID]]</f>
        <v xml:space="preserve"> -  - </v>
      </c>
      <c r="N159" s="90"/>
    </row>
    <row r="160" spans="8:14" x14ac:dyDescent="0.25">
      <c r="H160" s="91"/>
      <c r="I160" s="91"/>
      <c r="J160" s="97"/>
      <c r="K160" s="79"/>
      <c r="L160" s="79"/>
      <c r="M160" s="79" t="str">
        <f>Table72818224324048[[#This Row],[DBA]]&amp;" - "&amp;Table72818224324048[[#This Row],[BIN]]&amp;" - "&amp;Table72818224324048[[#This Row],[CAID]]</f>
        <v xml:space="preserve"> -  - </v>
      </c>
      <c r="N160" s="90"/>
    </row>
    <row r="161" spans="8:14" x14ac:dyDescent="0.25">
      <c r="H161" s="91"/>
      <c r="I161" s="91"/>
      <c r="J161" s="97"/>
      <c r="K161" s="79"/>
      <c r="L161" s="79"/>
      <c r="M161" s="79" t="str">
        <f>Table72818224324048[[#This Row],[DBA]]&amp;" - "&amp;Table72818224324048[[#This Row],[BIN]]&amp;" - "&amp;Table72818224324048[[#This Row],[CAID]]</f>
        <v xml:space="preserve"> -  - </v>
      </c>
      <c r="N161" s="90"/>
    </row>
    <row r="162" spans="8:14" x14ac:dyDescent="0.25">
      <c r="H162" s="91"/>
      <c r="I162" s="91"/>
      <c r="J162" s="97"/>
      <c r="K162" s="79"/>
      <c r="L162" s="79"/>
      <c r="M162" s="79" t="str">
        <f>Table72818224324048[[#This Row],[DBA]]&amp;" - "&amp;Table72818224324048[[#This Row],[BIN]]&amp;" - "&amp;Table72818224324048[[#This Row],[CAID]]</f>
        <v xml:space="preserve"> -  - </v>
      </c>
      <c r="N162" s="90"/>
    </row>
    <row r="163" spans="8:14" x14ac:dyDescent="0.25">
      <c r="H163" s="91"/>
      <c r="I163" s="91"/>
      <c r="J163" s="97"/>
      <c r="K163" s="79"/>
      <c r="L163" s="79"/>
      <c r="M163" s="79" t="str">
        <f>Table72818224324048[[#This Row],[DBA]]&amp;" - "&amp;Table72818224324048[[#This Row],[BIN]]&amp;" - "&amp;Table72818224324048[[#This Row],[CAID]]</f>
        <v xml:space="preserve"> -  - </v>
      </c>
      <c r="N163" s="90"/>
    </row>
    <row r="164" spans="8:14" x14ac:dyDescent="0.25">
      <c r="H164" s="91"/>
      <c r="I164" s="91"/>
      <c r="J164" s="97"/>
      <c r="K164" s="79"/>
      <c r="L164" s="79"/>
      <c r="M164" s="79" t="str">
        <f>Table72818224324048[[#This Row],[DBA]]&amp;" - "&amp;Table72818224324048[[#This Row],[BIN]]&amp;" - "&amp;Table72818224324048[[#This Row],[CAID]]</f>
        <v xml:space="preserve"> -  - </v>
      </c>
      <c r="N164" s="90"/>
    </row>
    <row r="165" spans="8:14" x14ac:dyDescent="0.25">
      <c r="H165" s="91"/>
      <c r="I165" s="91"/>
      <c r="J165" s="97"/>
      <c r="K165" s="79"/>
      <c r="L165" s="79"/>
      <c r="M165" s="79" t="str">
        <f>Table72818224324048[[#This Row],[DBA]]&amp;" - "&amp;Table72818224324048[[#This Row],[BIN]]&amp;" - "&amp;Table72818224324048[[#This Row],[CAID]]</f>
        <v xml:space="preserve"> -  - </v>
      </c>
      <c r="N165" s="90"/>
    </row>
    <row r="166" spans="8:14" x14ac:dyDescent="0.25">
      <c r="H166" s="91"/>
      <c r="I166" s="91"/>
      <c r="J166" s="97"/>
      <c r="K166" s="79"/>
      <c r="L166" s="79"/>
      <c r="M166" s="79" t="str">
        <f>Table72818224324048[[#This Row],[DBA]]&amp;" - "&amp;Table72818224324048[[#This Row],[BIN]]&amp;" - "&amp;Table72818224324048[[#This Row],[CAID]]</f>
        <v xml:space="preserve"> -  - </v>
      </c>
      <c r="N166" s="90"/>
    </row>
    <row r="167" spans="8:14" x14ac:dyDescent="0.25">
      <c r="H167" s="91"/>
      <c r="I167" s="91"/>
      <c r="J167" s="97"/>
      <c r="K167" s="79"/>
      <c r="L167" s="79"/>
      <c r="M167" s="79" t="str">
        <f>Table72818224324048[[#This Row],[DBA]]&amp;" - "&amp;Table72818224324048[[#This Row],[BIN]]&amp;" - "&amp;Table72818224324048[[#This Row],[CAID]]</f>
        <v xml:space="preserve"> -  - </v>
      </c>
      <c r="N167" s="90"/>
    </row>
    <row r="168" spans="8:14" x14ac:dyDescent="0.25">
      <c r="H168" s="91"/>
      <c r="I168" s="91"/>
      <c r="J168" s="97"/>
      <c r="K168" s="79"/>
      <c r="L168" s="79"/>
      <c r="M168" s="79" t="str">
        <f>Table72818224324048[[#This Row],[DBA]]&amp;" - "&amp;Table72818224324048[[#This Row],[BIN]]&amp;" - "&amp;Table72818224324048[[#This Row],[CAID]]</f>
        <v xml:space="preserve"> -  - </v>
      </c>
      <c r="N168" s="90"/>
    </row>
    <row r="169" spans="8:14" x14ac:dyDescent="0.25">
      <c r="H169" s="91"/>
      <c r="I169" s="91"/>
      <c r="J169" s="97"/>
      <c r="K169" s="79"/>
      <c r="L169" s="79"/>
      <c r="M169" s="79" t="str">
        <f>Table72818224324048[[#This Row],[DBA]]&amp;" - "&amp;Table72818224324048[[#This Row],[BIN]]&amp;" - "&amp;Table72818224324048[[#This Row],[CAID]]</f>
        <v xml:space="preserve"> -  - </v>
      </c>
      <c r="N169" s="90"/>
    </row>
    <row r="170" spans="8:14" x14ac:dyDescent="0.25">
      <c r="H170" s="91"/>
      <c r="I170" s="91"/>
      <c r="J170" s="97"/>
      <c r="K170" s="79"/>
      <c r="L170" s="79"/>
      <c r="M170" s="79" t="str">
        <f>Table72818224324048[[#This Row],[DBA]]&amp;" - "&amp;Table72818224324048[[#This Row],[BIN]]&amp;" - "&amp;Table72818224324048[[#This Row],[CAID]]</f>
        <v xml:space="preserve"> -  - </v>
      </c>
      <c r="N170" s="90"/>
    </row>
    <row r="171" spans="8:14" x14ac:dyDescent="0.25">
      <c r="H171" s="91"/>
      <c r="I171" s="91"/>
      <c r="J171" s="97"/>
      <c r="K171" s="79"/>
      <c r="L171" s="79"/>
      <c r="M171" s="79" t="str">
        <f>Table72818224324048[[#This Row],[DBA]]&amp;" - "&amp;Table72818224324048[[#This Row],[BIN]]&amp;" - "&amp;Table72818224324048[[#This Row],[CAID]]</f>
        <v xml:space="preserve"> -  - </v>
      </c>
      <c r="N171" s="90"/>
    </row>
    <row r="172" spans="8:14" x14ac:dyDescent="0.25">
      <c r="H172" s="91"/>
      <c r="I172" s="91"/>
      <c r="J172" s="97"/>
      <c r="K172" s="79"/>
      <c r="L172" s="79"/>
      <c r="M172" s="79" t="str">
        <f>Table72818224324048[[#This Row],[DBA]]&amp;" - "&amp;Table72818224324048[[#This Row],[BIN]]&amp;" - "&amp;Table72818224324048[[#This Row],[CAID]]</f>
        <v xml:space="preserve"> -  - </v>
      </c>
      <c r="N172" s="90"/>
    </row>
    <row r="173" spans="8:14" x14ac:dyDescent="0.25">
      <c r="H173" s="91"/>
      <c r="I173" s="91"/>
      <c r="J173" s="97"/>
      <c r="K173" s="79"/>
      <c r="L173" s="79"/>
      <c r="M173" s="79" t="str">
        <f>Table72818224324048[[#This Row],[DBA]]&amp;" - "&amp;Table72818224324048[[#This Row],[BIN]]&amp;" - "&amp;Table72818224324048[[#This Row],[CAID]]</f>
        <v xml:space="preserve"> -  - </v>
      </c>
      <c r="N173" s="90"/>
    </row>
    <row r="174" spans="8:14" x14ac:dyDescent="0.25">
      <c r="H174" s="91"/>
      <c r="I174" s="91"/>
      <c r="J174" s="97"/>
      <c r="K174" s="79"/>
      <c r="L174" s="79"/>
      <c r="M174" s="79" t="str">
        <f>Table72818224324048[[#This Row],[DBA]]&amp;" - "&amp;Table72818224324048[[#This Row],[BIN]]&amp;" - "&amp;Table72818224324048[[#This Row],[CAID]]</f>
        <v xml:space="preserve"> -  - </v>
      </c>
      <c r="N174" s="90"/>
    </row>
    <row r="175" spans="8:14" x14ac:dyDescent="0.25">
      <c r="H175" s="91"/>
      <c r="I175" s="91"/>
      <c r="J175" s="97"/>
      <c r="K175" s="79"/>
      <c r="L175" s="79"/>
      <c r="M175" s="79" t="str">
        <f>Table72818224324048[[#This Row],[DBA]]&amp;" - "&amp;Table72818224324048[[#This Row],[BIN]]&amp;" - "&amp;Table72818224324048[[#This Row],[CAID]]</f>
        <v xml:space="preserve"> -  - </v>
      </c>
      <c r="N175" s="90"/>
    </row>
    <row r="176" spans="8:14" x14ac:dyDescent="0.25">
      <c r="H176" s="91"/>
      <c r="I176" s="91"/>
      <c r="J176" s="97"/>
      <c r="K176" s="79"/>
      <c r="L176" s="79"/>
      <c r="M176" s="79" t="str">
        <f>Table72818224324048[[#This Row],[DBA]]&amp;" - "&amp;Table72818224324048[[#This Row],[BIN]]&amp;" - "&amp;Table72818224324048[[#This Row],[CAID]]</f>
        <v xml:space="preserve"> -  - </v>
      </c>
      <c r="N176" s="90"/>
    </row>
    <row r="177" spans="8:14" x14ac:dyDescent="0.25">
      <c r="H177" s="91"/>
      <c r="I177" s="91"/>
      <c r="J177" s="97"/>
      <c r="K177" s="79"/>
      <c r="L177" s="79"/>
      <c r="M177" s="79" t="str">
        <f>Table72818224324048[[#This Row],[DBA]]&amp;" - "&amp;Table72818224324048[[#This Row],[BIN]]&amp;" - "&amp;Table72818224324048[[#This Row],[CAID]]</f>
        <v xml:space="preserve"> -  - </v>
      </c>
      <c r="N177" s="90"/>
    </row>
    <row r="178" spans="8:14" x14ac:dyDescent="0.25">
      <c r="H178" s="91"/>
      <c r="I178" s="91"/>
      <c r="J178" s="97"/>
      <c r="K178" s="79"/>
      <c r="L178" s="79"/>
      <c r="M178" s="79" t="str">
        <f>Table72818224324048[[#This Row],[DBA]]&amp;" - "&amp;Table72818224324048[[#This Row],[BIN]]&amp;" - "&amp;Table72818224324048[[#This Row],[CAID]]</f>
        <v xml:space="preserve"> -  - </v>
      </c>
      <c r="N178" s="90"/>
    </row>
    <row r="179" spans="8:14" x14ac:dyDescent="0.25">
      <c r="H179" s="91"/>
      <c r="I179" s="91"/>
      <c r="J179" s="97"/>
      <c r="K179" s="79"/>
      <c r="L179" s="79"/>
      <c r="M179" s="79" t="str">
        <f>Table72818224324048[[#This Row],[DBA]]&amp;" - "&amp;Table72818224324048[[#This Row],[BIN]]&amp;" - "&amp;Table72818224324048[[#This Row],[CAID]]</f>
        <v xml:space="preserve"> -  - </v>
      </c>
      <c r="N179" s="90"/>
    </row>
    <row r="180" spans="8:14" x14ac:dyDescent="0.25">
      <c r="H180" s="91"/>
      <c r="I180" s="91"/>
      <c r="J180" s="97"/>
      <c r="K180" s="79"/>
      <c r="L180" s="79"/>
      <c r="M180" s="79" t="str">
        <f>Table72818224324048[[#This Row],[DBA]]&amp;" - "&amp;Table72818224324048[[#This Row],[BIN]]&amp;" - "&amp;Table72818224324048[[#This Row],[CAID]]</f>
        <v xml:space="preserve"> -  - </v>
      </c>
      <c r="N180" s="90"/>
    </row>
    <row r="181" spans="8:14" x14ac:dyDescent="0.25">
      <c r="H181" s="91"/>
      <c r="I181" s="91"/>
      <c r="J181" s="97"/>
      <c r="K181" s="79"/>
      <c r="L181" s="79"/>
      <c r="M181" s="79" t="str">
        <f>Table72818224324048[[#This Row],[DBA]]&amp;" - "&amp;Table72818224324048[[#This Row],[BIN]]&amp;" - "&amp;Table72818224324048[[#This Row],[CAID]]</f>
        <v xml:space="preserve"> -  - </v>
      </c>
      <c r="N181" s="90"/>
    </row>
    <row r="182" spans="8:14" x14ac:dyDescent="0.25">
      <c r="H182" s="91"/>
      <c r="I182" s="91"/>
      <c r="J182" s="97"/>
      <c r="K182" s="79"/>
      <c r="L182" s="79"/>
      <c r="M182" s="79" t="str">
        <f>Table72818224324048[[#This Row],[DBA]]&amp;" - "&amp;Table72818224324048[[#This Row],[BIN]]&amp;" - "&amp;Table72818224324048[[#This Row],[CAID]]</f>
        <v xml:space="preserve"> -  - </v>
      </c>
      <c r="N182" s="90"/>
    </row>
    <row r="183" spans="8:14" x14ac:dyDescent="0.25">
      <c r="H183" s="91"/>
      <c r="I183" s="91"/>
      <c r="J183" s="97"/>
      <c r="K183" s="79"/>
      <c r="L183" s="79"/>
      <c r="M183" s="79" t="str">
        <f>Table72818224324048[[#This Row],[DBA]]&amp;" - "&amp;Table72818224324048[[#This Row],[BIN]]&amp;" - "&amp;Table72818224324048[[#This Row],[CAID]]</f>
        <v xml:space="preserve"> -  - </v>
      </c>
      <c r="N183" s="90"/>
    </row>
    <row r="184" spans="8:14" x14ac:dyDescent="0.25">
      <c r="H184" s="91"/>
      <c r="I184" s="91"/>
      <c r="J184" s="97"/>
      <c r="K184" s="79"/>
      <c r="L184" s="79"/>
      <c r="M184" s="79" t="str">
        <f>Table72818224324048[[#This Row],[DBA]]&amp;" - "&amp;Table72818224324048[[#This Row],[BIN]]&amp;" - "&amp;Table72818224324048[[#This Row],[CAID]]</f>
        <v xml:space="preserve"> -  - </v>
      </c>
      <c r="N184" s="90"/>
    </row>
    <row r="185" spans="8:14" x14ac:dyDescent="0.25">
      <c r="H185" s="91"/>
      <c r="I185" s="91"/>
      <c r="J185" s="97"/>
      <c r="K185" s="79"/>
      <c r="L185" s="79"/>
      <c r="M185" s="79" t="str">
        <f>Table72818224324048[[#This Row],[DBA]]&amp;" - "&amp;Table72818224324048[[#This Row],[BIN]]&amp;" - "&amp;Table72818224324048[[#This Row],[CAID]]</f>
        <v xml:space="preserve"> -  - </v>
      </c>
      <c r="N185" s="90"/>
    </row>
    <row r="186" spans="8:14" x14ac:dyDescent="0.25">
      <c r="H186" s="91"/>
      <c r="I186" s="91"/>
      <c r="J186" s="97"/>
      <c r="K186" s="79"/>
      <c r="L186" s="79"/>
      <c r="M186" s="79" t="str">
        <f>Table72818224324048[[#This Row],[DBA]]&amp;" - "&amp;Table72818224324048[[#This Row],[BIN]]&amp;" - "&amp;Table72818224324048[[#This Row],[CAID]]</f>
        <v xml:space="preserve"> -  - </v>
      </c>
      <c r="N186" s="90"/>
    </row>
    <row r="187" spans="8:14" x14ac:dyDescent="0.25">
      <c r="H187" s="91"/>
      <c r="I187" s="91"/>
      <c r="J187" s="97"/>
      <c r="K187" s="79"/>
      <c r="L187" s="79"/>
      <c r="M187" s="79" t="str">
        <f>Table72818224324048[[#This Row],[DBA]]&amp;" - "&amp;Table72818224324048[[#This Row],[BIN]]&amp;" - "&amp;Table72818224324048[[#This Row],[CAID]]</f>
        <v xml:space="preserve"> -  - </v>
      </c>
      <c r="N187" s="90"/>
    </row>
    <row r="188" spans="8:14" x14ac:dyDescent="0.25">
      <c r="H188" s="91"/>
      <c r="I188" s="91"/>
      <c r="J188" s="97"/>
      <c r="K188" s="79"/>
      <c r="L188" s="79"/>
      <c r="M188" s="79" t="str">
        <f>Table72818224324048[[#This Row],[DBA]]&amp;" - "&amp;Table72818224324048[[#This Row],[BIN]]&amp;" - "&amp;Table72818224324048[[#This Row],[CAID]]</f>
        <v xml:space="preserve"> -  - </v>
      </c>
      <c r="N188" s="90"/>
    </row>
    <row r="189" spans="8:14" x14ac:dyDescent="0.25">
      <c r="H189" s="91"/>
      <c r="I189" s="91"/>
      <c r="J189" s="97"/>
      <c r="K189" s="79"/>
      <c r="L189" s="79"/>
      <c r="M189" s="79" t="str">
        <f>Table72818224324048[[#This Row],[DBA]]&amp;" - "&amp;Table72818224324048[[#This Row],[BIN]]&amp;" - "&amp;Table72818224324048[[#This Row],[CAID]]</f>
        <v xml:space="preserve"> -  - </v>
      </c>
      <c r="N189" s="90"/>
    </row>
    <row r="190" spans="8:14" x14ac:dyDescent="0.25">
      <c r="H190" s="91"/>
      <c r="I190" s="91"/>
      <c r="J190" s="97"/>
      <c r="K190" s="79"/>
      <c r="L190" s="79"/>
      <c r="M190" s="79" t="str">
        <f>Table72818224324048[[#This Row],[DBA]]&amp;" - "&amp;Table72818224324048[[#This Row],[BIN]]&amp;" - "&amp;Table72818224324048[[#This Row],[CAID]]</f>
        <v xml:space="preserve"> -  - </v>
      </c>
      <c r="N190" s="90"/>
    </row>
    <row r="191" spans="8:14" x14ac:dyDescent="0.25">
      <c r="H191" s="91"/>
      <c r="I191" s="91"/>
      <c r="J191" s="97"/>
      <c r="K191" s="79"/>
      <c r="L191" s="79"/>
      <c r="M191" s="79" t="str">
        <f>Table72818224324048[[#This Row],[DBA]]&amp;" - "&amp;Table72818224324048[[#This Row],[BIN]]&amp;" - "&amp;Table72818224324048[[#This Row],[CAID]]</f>
        <v xml:space="preserve"> -  - </v>
      </c>
      <c r="N191" s="90"/>
    </row>
    <row r="192" spans="8:14" x14ac:dyDescent="0.25">
      <c r="H192" s="91"/>
      <c r="I192" s="91"/>
      <c r="J192" s="97"/>
      <c r="K192" s="79"/>
      <c r="L192" s="79"/>
      <c r="M192" s="79" t="str">
        <f>Table72818224324048[[#This Row],[DBA]]&amp;" - "&amp;Table72818224324048[[#This Row],[BIN]]&amp;" - "&amp;Table72818224324048[[#This Row],[CAID]]</f>
        <v xml:space="preserve"> -  - </v>
      </c>
      <c r="N192" s="90"/>
    </row>
    <row r="193" spans="8:14" x14ac:dyDescent="0.25">
      <c r="H193" s="91"/>
      <c r="I193" s="91"/>
      <c r="J193" s="97"/>
      <c r="K193" s="79"/>
      <c r="L193" s="79"/>
      <c r="M193" s="79" t="str">
        <f>Table72818224324048[[#This Row],[DBA]]&amp;" - "&amp;Table72818224324048[[#This Row],[BIN]]&amp;" - "&amp;Table72818224324048[[#This Row],[CAID]]</f>
        <v xml:space="preserve"> -  - </v>
      </c>
      <c r="N193" s="90"/>
    </row>
    <row r="194" spans="8:14" x14ac:dyDescent="0.25">
      <c r="H194" s="91"/>
      <c r="I194" s="91"/>
      <c r="J194" s="97"/>
      <c r="K194" s="79"/>
      <c r="L194" s="79"/>
      <c r="M194" s="79" t="str">
        <f>Table72818224324048[[#This Row],[DBA]]&amp;" - "&amp;Table72818224324048[[#This Row],[BIN]]&amp;" - "&amp;Table72818224324048[[#This Row],[CAID]]</f>
        <v xml:space="preserve"> -  - </v>
      </c>
      <c r="N194" s="90"/>
    </row>
    <row r="195" spans="8:14" x14ac:dyDescent="0.25">
      <c r="H195" s="91"/>
      <c r="I195" s="91"/>
      <c r="J195" s="97"/>
      <c r="K195" s="79"/>
      <c r="L195" s="79"/>
      <c r="M195" s="79" t="str">
        <f>Table72818224324048[[#This Row],[DBA]]&amp;" - "&amp;Table72818224324048[[#This Row],[BIN]]&amp;" - "&amp;Table72818224324048[[#This Row],[CAID]]</f>
        <v xml:space="preserve"> -  - </v>
      </c>
      <c r="N195" s="90"/>
    </row>
    <row r="196" spans="8:14" x14ac:dyDescent="0.25">
      <c r="H196" s="91"/>
      <c r="I196" s="91"/>
      <c r="J196" s="97"/>
      <c r="K196" s="79"/>
      <c r="L196" s="79"/>
      <c r="M196" s="79" t="str">
        <f>Table72818224324048[[#This Row],[DBA]]&amp;" - "&amp;Table72818224324048[[#This Row],[BIN]]&amp;" - "&amp;Table72818224324048[[#This Row],[CAID]]</f>
        <v xml:space="preserve"> -  - </v>
      </c>
      <c r="N196" s="90"/>
    </row>
    <row r="197" spans="8:14" x14ac:dyDescent="0.25">
      <c r="H197" s="91"/>
      <c r="I197" s="91"/>
      <c r="J197" s="97"/>
      <c r="K197" s="79"/>
      <c r="L197" s="79"/>
      <c r="M197" s="79" t="str">
        <f>Table72818224324048[[#This Row],[DBA]]&amp;" - "&amp;Table72818224324048[[#This Row],[BIN]]&amp;" - "&amp;Table72818224324048[[#This Row],[CAID]]</f>
        <v xml:space="preserve"> -  - </v>
      </c>
      <c r="N197" s="90"/>
    </row>
    <row r="198" spans="8:14" x14ac:dyDescent="0.25">
      <c r="H198" s="91"/>
      <c r="I198" s="91"/>
      <c r="J198" s="97"/>
      <c r="K198" s="79"/>
      <c r="L198" s="79"/>
      <c r="M198" s="79" t="str">
        <f>Table72818224324048[[#This Row],[DBA]]&amp;" - "&amp;Table72818224324048[[#This Row],[BIN]]&amp;" - "&amp;Table72818224324048[[#This Row],[CAID]]</f>
        <v xml:space="preserve"> -  - </v>
      </c>
      <c r="N198" s="90"/>
    </row>
    <row r="199" spans="8:14" x14ac:dyDescent="0.25">
      <c r="H199" s="91"/>
      <c r="I199" s="91"/>
      <c r="J199" s="97"/>
      <c r="K199" s="79"/>
      <c r="L199" s="79"/>
      <c r="M199" s="79" t="str">
        <f>Table72818224324048[[#This Row],[DBA]]&amp;" - "&amp;Table72818224324048[[#This Row],[BIN]]&amp;" - "&amp;Table72818224324048[[#This Row],[CAID]]</f>
        <v xml:space="preserve"> -  - </v>
      </c>
      <c r="N199" s="90"/>
    </row>
    <row r="200" spans="8:14" x14ac:dyDescent="0.25">
      <c r="H200" s="91"/>
      <c r="I200" s="91"/>
      <c r="J200" s="97"/>
      <c r="K200" s="79"/>
      <c r="L200" s="79"/>
      <c r="M200" s="79" t="str">
        <f>Table72818224324048[[#This Row],[DBA]]&amp;" - "&amp;Table72818224324048[[#This Row],[BIN]]&amp;" - "&amp;Table72818224324048[[#This Row],[CAID]]</f>
        <v xml:space="preserve"> -  - </v>
      </c>
      <c r="N200" s="90"/>
    </row>
    <row r="201" spans="8:14" x14ac:dyDescent="0.25">
      <c r="H201" s="91"/>
      <c r="I201" s="91"/>
      <c r="J201" s="97"/>
      <c r="K201" s="79"/>
      <c r="L201" s="79"/>
      <c r="M201" s="79" t="str">
        <f>Table72818224324048[[#This Row],[DBA]]&amp;" - "&amp;Table72818224324048[[#This Row],[BIN]]&amp;" - "&amp;Table72818224324048[[#This Row],[CAID]]</f>
        <v xml:space="preserve"> -  - </v>
      </c>
      <c r="N201" s="90"/>
    </row>
    <row r="202" spans="8:14" x14ac:dyDescent="0.25">
      <c r="H202" s="91"/>
      <c r="I202" s="91"/>
      <c r="J202" s="97"/>
      <c r="K202" s="79"/>
      <c r="L202" s="79"/>
      <c r="M202" s="79" t="str">
        <f>Table72818224324048[[#This Row],[DBA]]&amp;" - "&amp;Table72818224324048[[#This Row],[BIN]]&amp;" - "&amp;Table72818224324048[[#This Row],[CAID]]</f>
        <v xml:space="preserve"> -  - </v>
      </c>
      <c r="N202" s="90"/>
    </row>
    <row r="203" spans="8:14" x14ac:dyDescent="0.25">
      <c r="H203" s="91"/>
      <c r="I203" s="91"/>
      <c r="J203" s="97"/>
      <c r="K203" s="79"/>
      <c r="L203" s="79"/>
      <c r="M203" s="79" t="str">
        <f>Table72818224324048[[#This Row],[DBA]]&amp;" - "&amp;Table72818224324048[[#This Row],[BIN]]&amp;" - "&amp;Table72818224324048[[#This Row],[CAID]]</f>
        <v xml:space="preserve"> -  - </v>
      </c>
      <c r="N203" s="90"/>
    </row>
    <row r="204" spans="8:14" x14ac:dyDescent="0.25">
      <c r="H204" s="91"/>
      <c r="I204" s="91"/>
      <c r="J204" s="97"/>
      <c r="K204" s="79"/>
      <c r="L204" s="79"/>
      <c r="M204" s="79" t="str">
        <f>Table72818224324048[[#This Row],[DBA]]&amp;" - "&amp;Table72818224324048[[#This Row],[BIN]]&amp;" - "&amp;Table72818224324048[[#This Row],[CAID]]</f>
        <v xml:space="preserve"> -  - </v>
      </c>
      <c r="N204" s="90"/>
    </row>
    <row r="205" spans="8:14" x14ac:dyDescent="0.25">
      <c r="H205" s="91"/>
      <c r="I205" s="91"/>
      <c r="J205" s="97"/>
      <c r="K205" s="79"/>
      <c r="L205" s="79"/>
      <c r="M205" s="79" t="str">
        <f>Table72818224324048[[#This Row],[DBA]]&amp;" - "&amp;Table72818224324048[[#This Row],[BIN]]&amp;" - "&amp;Table72818224324048[[#This Row],[CAID]]</f>
        <v xml:space="preserve"> -  - </v>
      </c>
      <c r="N205" s="90"/>
    </row>
    <row r="206" spans="8:14" x14ac:dyDescent="0.25">
      <c r="H206" s="91"/>
      <c r="I206" s="91"/>
      <c r="J206" s="97"/>
      <c r="K206" s="79"/>
      <c r="L206" s="79"/>
      <c r="M206" s="79" t="str">
        <f>Table72818224324048[[#This Row],[DBA]]&amp;" - "&amp;Table72818224324048[[#This Row],[BIN]]&amp;" - "&amp;Table72818224324048[[#This Row],[CAID]]</f>
        <v xml:space="preserve"> -  - </v>
      </c>
      <c r="N206" s="90"/>
    </row>
    <row r="207" spans="8:14" x14ac:dyDescent="0.25">
      <c r="H207" s="91"/>
      <c r="I207" s="91"/>
      <c r="J207" s="97"/>
      <c r="K207" s="79"/>
      <c r="L207" s="79"/>
      <c r="M207" s="79" t="str">
        <f>Table72818224324048[[#This Row],[DBA]]&amp;" - "&amp;Table72818224324048[[#This Row],[BIN]]&amp;" - "&amp;Table72818224324048[[#This Row],[CAID]]</f>
        <v xml:space="preserve"> -  - </v>
      </c>
      <c r="N207" s="90"/>
    </row>
    <row r="208" spans="8:14" x14ac:dyDescent="0.25">
      <c r="H208" s="91"/>
      <c r="I208" s="91"/>
      <c r="J208" s="97"/>
      <c r="K208" s="79"/>
      <c r="L208" s="79"/>
      <c r="M208" s="79" t="str">
        <f>Table72818224324048[[#This Row],[DBA]]&amp;" - "&amp;Table72818224324048[[#This Row],[BIN]]&amp;" - "&amp;Table72818224324048[[#This Row],[CAID]]</f>
        <v xml:space="preserve"> -  - </v>
      </c>
      <c r="N208" s="90"/>
    </row>
    <row r="209" spans="8:14" x14ac:dyDescent="0.25">
      <c r="H209" s="91"/>
      <c r="I209" s="91"/>
      <c r="J209" s="97"/>
      <c r="K209" s="79"/>
      <c r="L209" s="79"/>
      <c r="M209" s="79" t="str">
        <f>Table72818224324048[[#This Row],[DBA]]&amp;" - "&amp;Table72818224324048[[#This Row],[BIN]]&amp;" - "&amp;Table72818224324048[[#This Row],[CAID]]</f>
        <v xml:space="preserve"> -  - </v>
      </c>
      <c r="N209" s="90"/>
    </row>
    <row r="210" spans="8:14" x14ac:dyDescent="0.25">
      <c r="H210" s="91"/>
      <c r="I210" s="91"/>
      <c r="J210" s="97"/>
      <c r="K210" s="79"/>
      <c r="L210" s="79"/>
      <c r="M210" s="79" t="str">
        <f>Table72818224324048[[#This Row],[DBA]]&amp;" - "&amp;Table72818224324048[[#This Row],[BIN]]&amp;" - "&amp;Table72818224324048[[#This Row],[CAID]]</f>
        <v xml:space="preserve"> -  - </v>
      </c>
      <c r="N210" s="90"/>
    </row>
    <row r="211" spans="8:14" x14ac:dyDescent="0.25">
      <c r="H211" s="91"/>
      <c r="I211" s="91"/>
      <c r="J211" s="97"/>
      <c r="K211" s="79"/>
      <c r="L211" s="79"/>
      <c r="M211" s="79" t="str">
        <f>Table72818224324048[[#This Row],[DBA]]&amp;" - "&amp;Table72818224324048[[#This Row],[BIN]]&amp;" - "&amp;Table72818224324048[[#This Row],[CAID]]</f>
        <v xml:space="preserve"> -  - </v>
      </c>
      <c r="N211" s="90"/>
    </row>
    <row r="212" spans="8:14" x14ac:dyDescent="0.25">
      <c r="H212" s="91"/>
      <c r="I212" s="91"/>
      <c r="J212" s="97"/>
      <c r="K212" s="79"/>
      <c r="L212" s="79"/>
      <c r="M212" s="79" t="str">
        <f>Table72818224324048[[#This Row],[DBA]]&amp;" - "&amp;Table72818224324048[[#This Row],[BIN]]&amp;" - "&amp;Table72818224324048[[#This Row],[CAID]]</f>
        <v xml:space="preserve"> -  - </v>
      </c>
      <c r="N212" s="90"/>
    </row>
    <row r="213" spans="8:14" x14ac:dyDescent="0.25">
      <c r="H213" s="91"/>
      <c r="I213" s="91"/>
      <c r="J213" s="97"/>
      <c r="K213" s="79"/>
      <c r="L213" s="79"/>
      <c r="M213" s="79" t="str">
        <f>Table72818224324048[[#This Row],[DBA]]&amp;" - "&amp;Table72818224324048[[#This Row],[BIN]]&amp;" - "&amp;Table72818224324048[[#This Row],[CAID]]</f>
        <v xml:space="preserve"> -  - </v>
      </c>
      <c r="N213" s="90"/>
    </row>
    <row r="214" spans="8:14" x14ac:dyDescent="0.25">
      <c r="H214" s="91"/>
      <c r="I214" s="91"/>
      <c r="J214" s="97"/>
      <c r="K214" s="79"/>
      <c r="L214" s="79"/>
      <c r="M214" s="79" t="str">
        <f>Table72818224324048[[#This Row],[DBA]]&amp;" - "&amp;Table72818224324048[[#This Row],[BIN]]&amp;" - "&amp;Table72818224324048[[#This Row],[CAID]]</f>
        <v xml:space="preserve"> -  - </v>
      </c>
      <c r="N214" s="90"/>
    </row>
    <row r="215" spans="8:14" x14ac:dyDescent="0.25">
      <c r="H215" s="91"/>
      <c r="I215" s="91"/>
      <c r="J215" s="97"/>
      <c r="K215" s="79"/>
      <c r="L215" s="79"/>
      <c r="M215" s="79" t="str">
        <f>Table72818224324048[[#This Row],[DBA]]&amp;" - "&amp;Table72818224324048[[#This Row],[BIN]]&amp;" - "&amp;Table72818224324048[[#This Row],[CAID]]</f>
        <v xml:space="preserve"> -  - </v>
      </c>
      <c r="N215" s="90"/>
    </row>
    <row r="216" spans="8:14" x14ac:dyDescent="0.25">
      <c r="H216" s="91"/>
      <c r="I216" s="91"/>
      <c r="J216" s="97"/>
      <c r="K216" s="79"/>
      <c r="L216" s="79"/>
      <c r="M216" s="79" t="str">
        <f>Table72818224324048[[#This Row],[DBA]]&amp;" - "&amp;Table72818224324048[[#This Row],[BIN]]&amp;" - "&amp;Table72818224324048[[#This Row],[CAID]]</f>
        <v xml:space="preserve"> -  - </v>
      </c>
      <c r="N216" s="90"/>
    </row>
    <row r="217" spans="8:14" x14ac:dyDescent="0.25">
      <c r="H217" s="91"/>
      <c r="I217" s="91"/>
      <c r="J217" s="97"/>
      <c r="K217" s="79"/>
      <c r="L217" s="79"/>
      <c r="M217" s="79" t="str">
        <f>Table72818224324048[[#This Row],[DBA]]&amp;" - "&amp;Table72818224324048[[#This Row],[BIN]]&amp;" - "&amp;Table72818224324048[[#This Row],[CAID]]</f>
        <v xml:space="preserve"> -  - </v>
      </c>
      <c r="N217" s="90"/>
    </row>
    <row r="218" spans="8:14" x14ac:dyDescent="0.25">
      <c r="H218" s="91"/>
      <c r="I218" s="91"/>
      <c r="J218" s="97"/>
      <c r="K218" s="79"/>
      <c r="L218" s="79"/>
      <c r="M218" s="79" t="str">
        <f>Table72818224324048[[#This Row],[DBA]]&amp;" - "&amp;Table72818224324048[[#This Row],[BIN]]&amp;" - "&amp;Table72818224324048[[#This Row],[CAID]]</f>
        <v xml:space="preserve"> -  - </v>
      </c>
      <c r="N218" s="90"/>
    </row>
    <row r="219" spans="8:14" x14ac:dyDescent="0.25">
      <c r="H219" s="91"/>
      <c r="I219" s="91"/>
      <c r="J219" s="97"/>
      <c r="K219" s="79"/>
      <c r="L219" s="79"/>
      <c r="M219" s="79" t="str">
        <f>Table72818224324048[[#This Row],[DBA]]&amp;" - "&amp;Table72818224324048[[#This Row],[BIN]]&amp;" - "&amp;Table72818224324048[[#This Row],[CAID]]</f>
        <v xml:space="preserve"> -  - </v>
      </c>
      <c r="N219" s="90"/>
    </row>
    <row r="220" spans="8:14" x14ac:dyDescent="0.25">
      <c r="H220" s="91"/>
      <c r="I220" s="91"/>
      <c r="J220" s="97"/>
      <c r="K220" s="79"/>
      <c r="L220" s="79"/>
      <c r="M220" s="79" t="str">
        <f>Table72818224324048[[#This Row],[DBA]]&amp;" - "&amp;Table72818224324048[[#This Row],[BIN]]&amp;" - "&amp;Table72818224324048[[#This Row],[CAID]]</f>
        <v xml:space="preserve"> -  - </v>
      </c>
      <c r="N220" s="90"/>
    </row>
    <row r="221" spans="8:14" x14ac:dyDescent="0.25">
      <c r="H221" s="91"/>
      <c r="I221" s="91"/>
      <c r="J221" s="97"/>
      <c r="K221" s="79"/>
      <c r="L221" s="79"/>
      <c r="M221" s="79" t="str">
        <f>Table72818224324048[[#This Row],[DBA]]&amp;" - "&amp;Table72818224324048[[#This Row],[BIN]]&amp;" - "&amp;Table72818224324048[[#This Row],[CAID]]</f>
        <v xml:space="preserve"> -  - </v>
      </c>
      <c r="N221" s="90"/>
    </row>
    <row r="222" spans="8:14" x14ac:dyDescent="0.25">
      <c r="H222" s="91"/>
      <c r="I222" s="91"/>
      <c r="J222" s="97"/>
      <c r="K222" s="79"/>
      <c r="L222" s="79"/>
      <c r="M222" s="79" t="str">
        <f>Table72818224324048[[#This Row],[DBA]]&amp;" - "&amp;Table72818224324048[[#This Row],[BIN]]&amp;" - "&amp;Table72818224324048[[#This Row],[CAID]]</f>
        <v xml:space="preserve"> -  - </v>
      </c>
      <c r="N222" s="90"/>
    </row>
    <row r="223" spans="8:14" x14ac:dyDescent="0.25">
      <c r="H223" s="91"/>
      <c r="I223" s="91"/>
      <c r="J223" s="97"/>
      <c r="K223" s="79"/>
      <c r="L223" s="79"/>
      <c r="M223" s="79" t="str">
        <f>Table72818224324048[[#This Row],[DBA]]&amp;" - "&amp;Table72818224324048[[#This Row],[BIN]]&amp;" - "&amp;Table72818224324048[[#This Row],[CAID]]</f>
        <v xml:space="preserve"> -  - </v>
      </c>
      <c r="N223" s="90"/>
    </row>
    <row r="224" spans="8:14" x14ac:dyDescent="0.25">
      <c r="H224" s="91"/>
      <c r="I224" s="91"/>
      <c r="J224" s="97"/>
      <c r="K224" s="79"/>
      <c r="L224" s="79"/>
      <c r="M224" s="79" t="str">
        <f>Table72818224324048[[#This Row],[DBA]]&amp;" - "&amp;Table72818224324048[[#This Row],[BIN]]&amp;" - "&amp;Table72818224324048[[#This Row],[CAID]]</f>
        <v xml:space="preserve"> -  - </v>
      </c>
      <c r="N224" s="90"/>
    </row>
    <row r="225" spans="8:14" x14ac:dyDescent="0.25">
      <c r="H225" s="91"/>
      <c r="I225" s="91"/>
      <c r="J225" s="97"/>
      <c r="K225" s="79"/>
      <c r="L225" s="79"/>
      <c r="M225" s="79" t="str">
        <f>Table72818224324048[[#This Row],[DBA]]&amp;" - "&amp;Table72818224324048[[#This Row],[BIN]]&amp;" - "&amp;Table72818224324048[[#This Row],[CAID]]</f>
        <v xml:space="preserve"> -  - </v>
      </c>
      <c r="N225" s="90"/>
    </row>
    <row r="226" spans="8:14" x14ac:dyDescent="0.25">
      <c r="H226" s="91"/>
      <c r="I226" s="91"/>
      <c r="J226" s="97"/>
      <c r="K226" s="79"/>
      <c r="L226" s="79"/>
      <c r="M226" s="79" t="str">
        <f>Table72818224324048[[#This Row],[DBA]]&amp;" - "&amp;Table72818224324048[[#This Row],[BIN]]&amp;" - "&amp;Table72818224324048[[#This Row],[CAID]]</f>
        <v xml:space="preserve"> -  - </v>
      </c>
      <c r="N226" s="90"/>
    </row>
    <row r="227" spans="8:14" x14ac:dyDescent="0.25">
      <c r="H227" s="91"/>
      <c r="I227" s="91"/>
      <c r="J227" s="97"/>
      <c r="K227" s="79"/>
      <c r="L227" s="79"/>
      <c r="M227" s="79" t="str">
        <f>Table72818224324048[[#This Row],[DBA]]&amp;" - "&amp;Table72818224324048[[#This Row],[BIN]]&amp;" - "&amp;Table72818224324048[[#This Row],[CAID]]</f>
        <v xml:space="preserve"> -  - </v>
      </c>
      <c r="N227" s="90"/>
    </row>
    <row r="228" spans="8:14" x14ac:dyDescent="0.25">
      <c r="H228" s="91"/>
      <c r="I228" s="91"/>
      <c r="J228" s="97"/>
      <c r="K228" s="79"/>
      <c r="L228" s="79"/>
      <c r="M228" s="79" t="str">
        <f>Table72818224324048[[#This Row],[DBA]]&amp;" - "&amp;Table72818224324048[[#This Row],[BIN]]&amp;" - "&amp;Table72818224324048[[#This Row],[CAID]]</f>
        <v xml:space="preserve"> -  - </v>
      </c>
      <c r="N228" s="90"/>
    </row>
    <row r="229" spans="8:14" x14ac:dyDescent="0.25">
      <c r="H229" s="91"/>
      <c r="I229" s="91"/>
      <c r="J229" s="97"/>
      <c r="K229" s="79"/>
      <c r="L229" s="79"/>
      <c r="M229" s="79" t="str">
        <f>Table72818224324048[[#This Row],[DBA]]&amp;" - "&amp;Table72818224324048[[#This Row],[BIN]]&amp;" - "&amp;Table72818224324048[[#This Row],[CAID]]</f>
        <v xml:space="preserve"> -  - </v>
      </c>
      <c r="N229" s="90"/>
    </row>
    <row r="230" spans="8:14" x14ac:dyDescent="0.25">
      <c r="H230" s="91"/>
      <c r="I230" s="91"/>
      <c r="J230" s="97"/>
      <c r="K230" s="79"/>
      <c r="L230" s="79"/>
      <c r="M230" s="79" t="str">
        <f>Table72818224324048[[#This Row],[DBA]]&amp;" - "&amp;Table72818224324048[[#This Row],[BIN]]&amp;" - "&amp;Table72818224324048[[#This Row],[CAID]]</f>
        <v xml:space="preserve"> -  - </v>
      </c>
      <c r="N230" s="90"/>
    </row>
    <row r="231" spans="8:14" x14ac:dyDescent="0.25">
      <c r="H231" s="91"/>
      <c r="I231" s="91"/>
      <c r="J231" s="97"/>
      <c r="K231" s="79"/>
      <c r="L231" s="79"/>
      <c r="M231" s="79" t="str">
        <f>Table72818224324048[[#This Row],[DBA]]&amp;" - "&amp;Table72818224324048[[#This Row],[BIN]]&amp;" - "&amp;Table72818224324048[[#This Row],[CAID]]</f>
        <v xml:space="preserve"> -  - </v>
      </c>
      <c r="N231" s="90"/>
    </row>
    <row r="232" spans="8:14" x14ac:dyDescent="0.25">
      <c r="H232" s="91"/>
      <c r="I232" s="91"/>
      <c r="J232" s="97"/>
      <c r="K232" s="79"/>
      <c r="L232" s="79"/>
      <c r="M232" s="79" t="str">
        <f>Table72818224324048[[#This Row],[DBA]]&amp;" - "&amp;Table72818224324048[[#This Row],[BIN]]&amp;" - "&amp;Table72818224324048[[#This Row],[CAID]]</f>
        <v xml:space="preserve"> -  - </v>
      </c>
      <c r="N232" s="90"/>
    </row>
    <row r="233" spans="8:14" x14ac:dyDescent="0.25">
      <c r="H233" s="91"/>
      <c r="I233" s="91"/>
      <c r="J233" s="97"/>
      <c r="K233" s="79"/>
      <c r="L233" s="79"/>
      <c r="M233" s="79" t="str">
        <f>Table72818224324048[[#This Row],[DBA]]&amp;" - "&amp;Table72818224324048[[#This Row],[BIN]]&amp;" - "&amp;Table72818224324048[[#This Row],[CAID]]</f>
        <v xml:space="preserve"> -  - </v>
      </c>
      <c r="N233" s="90"/>
    </row>
    <row r="234" spans="8:14" x14ac:dyDescent="0.25">
      <c r="H234" s="91"/>
      <c r="I234" s="91"/>
      <c r="J234" s="97"/>
      <c r="K234" s="79"/>
      <c r="L234" s="79"/>
      <c r="M234" s="79" t="str">
        <f>Table72818224324048[[#This Row],[DBA]]&amp;" - "&amp;Table72818224324048[[#This Row],[BIN]]&amp;" - "&amp;Table72818224324048[[#This Row],[CAID]]</f>
        <v xml:space="preserve"> -  - </v>
      </c>
      <c r="N234" s="90"/>
    </row>
    <row r="235" spans="8:14" x14ac:dyDescent="0.25">
      <c r="H235" s="91"/>
      <c r="I235" s="91"/>
      <c r="J235" s="97"/>
      <c r="K235" s="79"/>
      <c r="L235" s="79"/>
      <c r="M235" s="79" t="str">
        <f>Table72818224324048[[#This Row],[DBA]]&amp;" - "&amp;Table72818224324048[[#This Row],[BIN]]&amp;" - "&amp;Table72818224324048[[#This Row],[CAID]]</f>
        <v xml:space="preserve"> -  - </v>
      </c>
      <c r="N235" s="90"/>
    </row>
    <row r="236" spans="8:14" x14ac:dyDescent="0.25">
      <c r="H236" s="91"/>
      <c r="I236" s="91"/>
      <c r="J236" s="97"/>
      <c r="K236" s="79"/>
      <c r="L236" s="79"/>
      <c r="M236" s="79" t="str">
        <f>Table72818224324048[[#This Row],[DBA]]&amp;" - "&amp;Table72818224324048[[#This Row],[BIN]]&amp;" - "&amp;Table72818224324048[[#This Row],[CAID]]</f>
        <v xml:space="preserve"> -  - </v>
      </c>
      <c r="N236" s="90"/>
    </row>
    <row r="237" spans="8:14" x14ac:dyDescent="0.25">
      <c r="H237" s="91"/>
      <c r="I237" s="91"/>
      <c r="J237" s="97"/>
      <c r="K237" s="79"/>
      <c r="L237" s="79"/>
      <c r="M237" s="79" t="str">
        <f>Table72818224324048[[#This Row],[DBA]]&amp;" - "&amp;Table72818224324048[[#This Row],[BIN]]&amp;" - "&amp;Table72818224324048[[#This Row],[CAID]]</f>
        <v xml:space="preserve"> -  - </v>
      </c>
      <c r="N237" s="90"/>
    </row>
    <row r="238" spans="8:14" x14ac:dyDescent="0.25">
      <c r="H238" s="91"/>
      <c r="I238" s="91"/>
      <c r="J238" s="97"/>
      <c r="K238" s="79"/>
      <c r="L238" s="79"/>
      <c r="M238" s="79" t="str">
        <f>Table72818224324048[[#This Row],[DBA]]&amp;" - "&amp;Table72818224324048[[#This Row],[BIN]]&amp;" - "&amp;Table72818224324048[[#This Row],[CAID]]</f>
        <v xml:space="preserve"> -  - </v>
      </c>
      <c r="N238" s="90"/>
    </row>
    <row r="239" spans="8:14" x14ac:dyDescent="0.25">
      <c r="H239" s="91"/>
      <c r="I239" s="91"/>
      <c r="J239" s="97"/>
      <c r="K239" s="79"/>
      <c r="L239" s="79"/>
      <c r="M239" s="79" t="str">
        <f>Table72818224324048[[#This Row],[DBA]]&amp;" - "&amp;Table72818224324048[[#This Row],[BIN]]&amp;" - "&amp;Table72818224324048[[#This Row],[CAID]]</f>
        <v xml:space="preserve"> -  - </v>
      </c>
      <c r="N239" s="90"/>
    </row>
    <row r="240" spans="8:14" x14ac:dyDescent="0.25">
      <c r="H240" s="91"/>
      <c r="I240" s="91"/>
      <c r="J240" s="97"/>
      <c r="K240" s="79"/>
      <c r="L240" s="79"/>
      <c r="M240" s="79" t="str">
        <f>Table72818224324048[[#This Row],[DBA]]&amp;" - "&amp;Table72818224324048[[#This Row],[BIN]]&amp;" - "&amp;Table72818224324048[[#This Row],[CAID]]</f>
        <v xml:space="preserve"> -  - </v>
      </c>
      <c r="N240" s="90"/>
    </row>
    <row r="241" spans="8:14" x14ac:dyDescent="0.25">
      <c r="H241" s="91"/>
      <c r="I241" s="91"/>
      <c r="J241" s="97"/>
      <c r="K241" s="79"/>
      <c r="L241" s="79"/>
      <c r="M241" s="79" t="str">
        <f>Table72818224324048[[#This Row],[DBA]]&amp;" - "&amp;Table72818224324048[[#This Row],[BIN]]&amp;" - "&amp;Table72818224324048[[#This Row],[CAID]]</f>
        <v xml:space="preserve"> -  - </v>
      </c>
      <c r="N241" s="90"/>
    </row>
    <row r="242" spans="8:14" x14ac:dyDescent="0.25">
      <c r="H242" s="91"/>
      <c r="I242" s="91"/>
      <c r="J242" s="97"/>
      <c r="K242" s="79"/>
      <c r="L242" s="79"/>
      <c r="M242" s="79" t="str">
        <f>Table72818224324048[[#This Row],[DBA]]&amp;" - "&amp;Table72818224324048[[#This Row],[BIN]]&amp;" - "&amp;Table72818224324048[[#This Row],[CAID]]</f>
        <v xml:space="preserve"> -  - </v>
      </c>
      <c r="N242" s="90"/>
    </row>
    <row r="243" spans="8:14" x14ac:dyDescent="0.25">
      <c r="H243" s="91"/>
      <c r="I243" s="91"/>
      <c r="J243" s="97"/>
      <c r="K243" s="79"/>
      <c r="L243" s="79"/>
      <c r="M243" s="79" t="str">
        <f>Table72818224324048[[#This Row],[DBA]]&amp;" - "&amp;Table72818224324048[[#This Row],[BIN]]&amp;" - "&amp;Table72818224324048[[#This Row],[CAID]]</f>
        <v xml:space="preserve"> -  - </v>
      </c>
      <c r="N243" s="90"/>
    </row>
    <row r="244" spans="8:14" x14ac:dyDescent="0.25">
      <c r="H244" s="91"/>
      <c r="I244" s="91"/>
      <c r="J244" s="97"/>
      <c r="K244" s="79"/>
      <c r="L244" s="79"/>
      <c r="M244" s="79" t="str">
        <f>Table72818224324048[[#This Row],[DBA]]&amp;" - "&amp;Table72818224324048[[#This Row],[BIN]]&amp;" - "&amp;Table72818224324048[[#This Row],[CAID]]</f>
        <v xml:space="preserve"> -  - </v>
      </c>
      <c r="N244" s="90"/>
    </row>
    <row r="245" spans="8:14" x14ac:dyDescent="0.25">
      <c r="H245" s="91"/>
      <c r="I245" s="91"/>
      <c r="J245" s="97"/>
      <c r="K245" s="79"/>
      <c r="L245" s="79"/>
      <c r="M245" s="79" t="str">
        <f>Table72818224324048[[#This Row],[DBA]]&amp;" - "&amp;Table72818224324048[[#This Row],[BIN]]&amp;" - "&amp;Table72818224324048[[#This Row],[CAID]]</f>
        <v xml:space="preserve"> -  - </v>
      </c>
      <c r="N245" s="90"/>
    </row>
    <row r="246" spans="8:14" x14ac:dyDescent="0.25">
      <c r="H246" s="91"/>
      <c r="I246" s="91"/>
      <c r="J246" s="97"/>
      <c r="K246" s="79"/>
      <c r="L246" s="79"/>
      <c r="M246" s="79" t="str">
        <f>Table72818224324048[[#This Row],[DBA]]&amp;" - "&amp;Table72818224324048[[#This Row],[BIN]]&amp;" - "&amp;Table72818224324048[[#This Row],[CAID]]</f>
        <v xml:space="preserve"> -  - </v>
      </c>
      <c r="N246" s="90"/>
    </row>
    <row r="247" spans="8:14" x14ac:dyDescent="0.25">
      <c r="H247" s="91"/>
      <c r="I247" s="91"/>
      <c r="J247" s="97"/>
      <c r="K247" s="79"/>
      <c r="L247" s="79"/>
      <c r="M247" s="79" t="str">
        <f>Table72818224324048[[#This Row],[DBA]]&amp;" - "&amp;Table72818224324048[[#This Row],[BIN]]&amp;" - "&amp;Table72818224324048[[#This Row],[CAID]]</f>
        <v xml:space="preserve"> -  - </v>
      </c>
      <c r="N247" s="90"/>
    </row>
    <row r="248" spans="8:14" x14ac:dyDescent="0.25">
      <c r="H248" s="91"/>
      <c r="I248" s="91"/>
      <c r="J248" s="97"/>
      <c r="K248" s="79"/>
      <c r="L248" s="79"/>
      <c r="M248" s="79" t="str">
        <f>Table72818224324048[[#This Row],[DBA]]&amp;" - "&amp;Table72818224324048[[#This Row],[BIN]]&amp;" - "&amp;Table72818224324048[[#This Row],[CAID]]</f>
        <v xml:space="preserve"> -  - </v>
      </c>
      <c r="N248" s="90"/>
    </row>
    <row r="249" spans="8:14" x14ac:dyDescent="0.25">
      <c r="H249" s="91"/>
      <c r="I249" s="91"/>
      <c r="J249" s="97"/>
      <c r="K249" s="79"/>
      <c r="L249" s="79"/>
      <c r="M249" s="79" t="str">
        <f>Table72818224324048[[#This Row],[DBA]]&amp;" - "&amp;Table72818224324048[[#This Row],[BIN]]&amp;" - "&amp;Table72818224324048[[#This Row],[CAID]]</f>
        <v xml:space="preserve"> -  - </v>
      </c>
      <c r="N249" s="90"/>
    </row>
    <row r="250" spans="8:14" x14ac:dyDescent="0.25">
      <c r="H250" s="91"/>
      <c r="I250" s="91"/>
      <c r="J250" s="97"/>
      <c r="K250" s="79"/>
      <c r="L250" s="79"/>
      <c r="M250" s="79" t="str">
        <f>Table72818224324048[[#This Row],[DBA]]&amp;" - "&amp;Table72818224324048[[#This Row],[BIN]]&amp;" - "&amp;Table72818224324048[[#This Row],[CAID]]</f>
        <v xml:space="preserve"> -  - </v>
      </c>
      <c r="N250" s="90"/>
    </row>
    <row r="251" spans="8:14" x14ac:dyDescent="0.25">
      <c r="H251" s="91"/>
      <c r="I251" s="91"/>
      <c r="J251" s="97"/>
      <c r="K251" s="79"/>
      <c r="L251" s="79"/>
      <c r="M251" s="79" t="str">
        <f>Table72818224324048[[#This Row],[DBA]]&amp;" - "&amp;Table72818224324048[[#This Row],[BIN]]&amp;" - "&amp;Table72818224324048[[#This Row],[CAID]]</f>
        <v xml:space="preserve"> -  - </v>
      </c>
      <c r="N251" s="90"/>
    </row>
    <row r="252" spans="8:14" x14ac:dyDescent="0.25">
      <c r="H252" s="91"/>
      <c r="I252" s="91"/>
      <c r="J252" s="97"/>
      <c r="K252" s="79"/>
      <c r="L252" s="79"/>
      <c r="M252" s="79" t="str">
        <f>Table72818224324048[[#This Row],[DBA]]&amp;" - "&amp;Table72818224324048[[#This Row],[BIN]]&amp;" - "&amp;Table72818224324048[[#This Row],[CAID]]</f>
        <v xml:space="preserve"> -  - </v>
      </c>
      <c r="N252" s="90"/>
    </row>
    <row r="253" spans="8:14" x14ac:dyDescent="0.25">
      <c r="H253" s="91"/>
      <c r="I253" s="91"/>
      <c r="J253" s="97"/>
      <c r="K253" s="79"/>
      <c r="L253" s="79"/>
      <c r="M253" s="79" t="str">
        <f>Table72818224324048[[#This Row],[DBA]]&amp;" - "&amp;Table72818224324048[[#This Row],[BIN]]&amp;" - "&amp;Table72818224324048[[#This Row],[CAID]]</f>
        <v xml:space="preserve"> -  - </v>
      </c>
      <c r="N253" s="90"/>
    </row>
    <row r="254" spans="8:14" x14ac:dyDescent="0.25">
      <c r="H254" s="91"/>
      <c r="I254" s="91"/>
      <c r="J254" s="97"/>
      <c r="K254" s="79"/>
      <c r="L254" s="79"/>
      <c r="M254" s="79" t="str">
        <f>Table72818224324048[[#This Row],[DBA]]&amp;" - "&amp;Table72818224324048[[#This Row],[BIN]]&amp;" - "&amp;Table72818224324048[[#This Row],[CAID]]</f>
        <v xml:space="preserve"> -  - </v>
      </c>
      <c r="N254" s="90"/>
    </row>
    <row r="255" spans="8:14" x14ac:dyDescent="0.25">
      <c r="H255" s="91"/>
      <c r="I255" s="91"/>
      <c r="J255" s="97"/>
      <c r="K255" s="79"/>
      <c r="L255" s="79"/>
      <c r="M255" s="79" t="str">
        <f>Table72818224324048[[#This Row],[DBA]]&amp;" - "&amp;Table72818224324048[[#This Row],[BIN]]&amp;" - "&amp;Table72818224324048[[#This Row],[CAID]]</f>
        <v xml:space="preserve"> -  - </v>
      </c>
      <c r="N255" s="90"/>
    </row>
    <row r="256" spans="8:14" x14ac:dyDescent="0.25">
      <c r="H256" s="91"/>
      <c r="I256" s="91"/>
      <c r="J256" s="97"/>
      <c r="K256" s="79"/>
      <c r="L256" s="79"/>
      <c r="M256" s="79" t="str">
        <f>Table72818224324048[[#This Row],[DBA]]&amp;" - "&amp;Table72818224324048[[#This Row],[BIN]]&amp;" - "&amp;Table72818224324048[[#This Row],[CAID]]</f>
        <v xml:space="preserve"> -  - </v>
      </c>
      <c r="N256" s="90"/>
    </row>
    <row r="257" spans="8:14" x14ac:dyDescent="0.25">
      <c r="H257" s="91"/>
      <c r="I257" s="91"/>
      <c r="J257" s="97"/>
      <c r="K257" s="79"/>
      <c r="L257" s="79"/>
      <c r="M257" s="79" t="str">
        <f>Table72818224324048[[#This Row],[DBA]]&amp;" - "&amp;Table72818224324048[[#This Row],[BIN]]&amp;" - "&amp;Table72818224324048[[#This Row],[CAID]]</f>
        <v xml:space="preserve"> -  - </v>
      </c>
      <c r="N257" s="90"/>
    </row>
    <row r="258" spans="8:14" x14ac:dyDescent="0.25">
      <c r="H258" s="91"/>
      <c r="I258" s="91"/>
      <c r="J258" s="97"/>
      <c r="K258" s="79"/>
      <c r="L258" s="79"/>
      <c r="M258" s="79" t="str">
        <f>Table72818224324048[[#This Row],[DBA]]&amp;" - "&amp;Table72818224324048[[#This Row],[BIN]]&amp;" - "&amp;Table72818224324048[[#This Row],[CAID]]</f>
        <v xml:space="preserve"> -  - </v>
      </c>
      <c r="N258" s="90"/>
    </row>
    <row r="259" spans="8:14" x14ac:dyDescent="0.25">
      <c r="H259" s="91"/>
      <c r="I259" s="91"/>
      <c r="J259" s="97"/>
      <c r="K259" s="79"/>
      <c r="L259" s="79"/>
      <c r="M259" s="79" t="str">
        <f>Table72818224324048[[#This Row],[DBA]]&amp;" - "&amp;Table72818224324048[[#This Row],[BIN]]&amp;" - "&amp;Table72818224324048[[#This Row],[CAID]]</f>
        <v xml:space="preserve"> -  - </v>
      </c>
      <c r="N259" s="90"/>
    </row>
    <row r="260" spans="8:14" x14ac:dyDescent="0.25">
      <c r="H260" s="91"/>
      <c r="I260" s="91"/>
      <c r="J260" s="97"/>
      <c r="K260" s="79"/>
      <c r="L260" s="79"/>
      <c r="M260" s="79" t="str">
        <f>Table72818224324048[[#This Row],[DBA]]&amp;" - "&amp;Table72818224324048[[#This Row],[BIN]]&amp;" - "&amp;Table72818224324048[[#This Row],[CAID]]</f>
        <v xml:space="preserve"> -  - </v>
      </c>
      <c r="N260" s="90"/>
    </row>
    <row r="261" spans="8:14" x14ac:dyDescent="0.25">
      <c r="H261" s="91"/>
      <c r="I261" s="91"/>
      <c r="J261" s="97"/>
      <c r="K261" s="79"/>
      <c r="L261" s="79"/>
      <c r="M261" s="79" t="str">
        <f>Table72818224324048[[#This Row],[DBA]]&amp;" - "&amp;Table72818224324048[[#This Row],[BIN]]&amp;" - "&amp;Table72818224324048[[#This Row],[CAID]]</f>
        <v xml:space="preserve"> -  - </v>
      </c>
      <c r="N261" s="90"/>
    </row>
    <row r="262" spans="8:14" x14ac:dyDescent="0.25">
      <c r="H262" s="91"/>
      <c r="I262" s="91"/>
      <c r="J262" s="97"/>
      <c r="K262" s="79"/>
      <c r="L262" s="79"/>
      <c r="M262" s="79" t="str">
        <f>Table72818224324048[[#This Row],[DBA]]&amp;" - "&amp;Table72818224324048[[#This Row],[BIN]]&amp;" - "&amp;Table72818224324048[[#This Row],[CAID]]</f>
        <v xml:space="preserve"> -  - </v>
      </c>
      <c r="N262" s="90"/>
    </row>
    <row r="263" spans="8:14" x14ac:dyDescent="0.25">
      <c r="H263" s="91"/>
      <c r="I263" s="91"/>
      <c r="J263" s="97"/>
      <c r="K263" s="79"/>
      <c r="L263" s="79"/>
      <c r="M263" s="79" t="str">
        <f>Table72818224324048[[#This Row],[DBA]]&amp;" - "&amp;Table72818224324048[[#This Row],[BIN]]&amp;" - "&amp;Table72818224324048[[#This Row],[CAID]]</f>
        <v xml:space="preserve"> -  - </v>
      </c>
      <c r="N263" s="90"/>
    </row>
    <row r="264" spans="8:14" x14ac:dyDescent="0.25">
      <c r="H264" s="91"/>
      <c r="I264" s="91"/>
      <c r="J264" s="97"/>
      <c r="K264" s="79"/>
      <c r="L264" s="79"/>
      <c r="M264" s="79" t="str">
        <f>Table72818224324048[[#This Row],[DBA]]&amp;" - "&amp;Table72818224324048[[#This Row],[BIN]]&amp;" - "&amp;Table72818224324048[[#This Row],[CAID]]</f>
        <v xml:space="preserve"> -  - </v>
      </c>
      <c r="N264" s="90"/>
    </row>
    <row r="265" spans="8:14" x14ac:dyDescent="0.25">
      <c r="H265" s="91"/>
      <c r="I265" s="91"/>
      <c r="J265" s="97"/>
      <c r="K265" s="79"/>
      <c r="L265" s="79"/>
      <c r="M265" s="79" t="str">
        <f>Table72818224324048[[#This Row],[DBA]]&amp;" - "&amp;Table72818224324048[[#This Row],[BIN]]&amp;" - "&amp;Table72818224324048[[#This Row],[CAID]]</f>
        <v xml:space="preserve"> -  - </v>
      </c>
      <c r="N265" s="90"/>
    </row>
    <row r="266" spans="8:14" x14ac:dyDescent="0.25">
      <c r="H266" s="91"/>
      <c r="I266" s="91"/>
      <c r="J266" s="97"/>
      <c r="K266" s="79"/>
      <c r="L266" s="79"/>
      <c r="M266" s="79" t="str">
        <f>Table72818224324048[[#This Row],[DBA]]&amp;" - "&amp;Table72818224324048[[#This Row],[BIN]]&amp;" - "&amp;Table72818224324048[[#This Row],[CAID]]</f>
        <v xml:space="preserve"> -  - </v>
      </c>
      <c r="N266" s="90"/>
    </row>
    <row r="267" spans="8:14" x14ac:dyDescent="0.25">
      <c r="H267" s="91"/>
      <c r="I267" s="91"/>
      <c r="J267" s="97"/>
      <c r="K267" s="79"/>
      <c r="L267" s="79"/>
      <c r="M267" s="79" t="str">
        <f>Table72818224324048[[#This Row],[DBA]]&amp;" - "&amp;Table72818224324048[[#This Row],[BIN]]&amp;" - "&amp;Table72818224324048[[#This Row],[CAID]]</f>
        <v xml:space="preserve"> -  - </v>
      </c>
      <c r="N267" s="90"/>
    </row>
    <row r="268" spans="8:14" x14ac:dyDescent="0.25">
      <c r="H268" s="91"/>
      <c r="I268" s="91"/>
      <c r="J268" s="97"/>
      <c r="K268" s="79"/>
      <c r="L268" s="79"/>
      <c r="M268" s="79" t="str">
        <f>Table72818224324048[[#This Row],[DBA]]&amp;" - "&amp;Table72818224324048[[#This Row],[BIN]]&amp;" - "&amp;Table72818224324048[[#This Row],[CAID]]</f>
        <v xml:space="preserve"> -  - </v>
      </c>
      <c r="N268" s="90"/>
    </row>
    <row r="269" spans="8:14" x14ac:dyDescent="0.25">
      <c r="H269" s="91"/>
      <c r="I269" s="91"/>
      <c r="J269" s="97"/>
      <c r="K269" s="79"/>
      <c r="L269" s="79"/>
      <c r="M269" s="79" t="str">
        <f>Table72818224324048[[#This Row],[DBA]]&amp;" - "&amp;Table72818224324048[[#This Row],[BIN]]&amp;" - "&amp;Table72818224324048[[#This Row],[CAID]]</f>
        <v xml:space="preserve"> -  - </v>
      </c>
      <c r="N269" s="90"/>
    </row>
    <row r="270" spans="8:14" x14ac:dyDescent="0.25">
      <c r="H270" s="91"/>
      <c r="I270" s="91"/>
      <c r="J270" s="97"/>
      <c r="K270" s="79"/>
      <c r="L270" s="79"/>
      <c r="M270" s="79" t="str">
        <f>Table72818224324048[[#This Row],[DBA]]&amp;" - "&amp;Table72818224324048[[#This Row],[BIN]]&amp;" - "&amp;Table72818224324048[[#This Row],[CAID]]</f>
        <v xml:space="preserve"> -  - </v>
      </c>
      <c r="N270" s="90"/>
    </row>
    <row r="271" spans="8:14" x14ac:dyDescent="0.25">
      <c r="H271" s="91"/>
      <c r="I271" s="91"/>
      <c r="J271" s="97"/>
      <c r="K271" s="79"/>
      <c r="L271" s="79"/>
      <c r="M271" s="79" t="str">
        <f>Table72818224324048[[#This Row],[DBA]]&amp;" - "&amp;Table72818224324048[[#This Row],[BIN]]&amp;" - "&amp;Table72818224324048[[#This Row],[CAID]]</f>
        <v xml:space="preserve"> -  - </v>
      </c>
      <c r="N271" s="90"/>
    </row>
    <row r="272" spans="8:14" x14ac:dyDescent="0.25">
      <c r="H272" s="91"/>
      <c r="I272" s="91"/>
      <c r="J272" s="97"/>
      <c r="K272" s="79"/>
      <c r="L272" s="79"/>
      <c r="M272" s="79" t="str">
        <f>Table72818224324048[[#This Row],[DBA]]&amp;" - "&amp;Table72818224324048[[#This Row],[BIN]]&amp;" - "&amp;Table72818224324048[[#This Row],[CAID]]</f>
        <v xml:space="preserve"> -  - </v>
      </c>
      <c r="N272" s="90"/>
    </row>
    <row r="273" spans="8:14" x14ac:dyDescent="0.25">
      <c r="H273" s="91"/>
      <c r="I273" s="91"/>
      <c r="J273" s="97"/>
      <c r="K273" s="79"/>
      <c r="L273" s="79"/>
      <c r="M273" s="79" t="str">
        <f>Table72818224324048[[#This Row],[DBA]]&amp;" - "&amp;Table72818224324048[[#This Row],[BIN]]&amp;" - "&amp;Table72818224324048[[#This Row],[CAID]]</f>
        <v xml:space="preserve"> -  - </v>
      </c>
      <c r="N273" s="90"/>
    </row>
    <row r="274" spans="8:14" x14ac:dyDescent="0.25">
      <c r="H274" s="91"/>
      <c r="I274" s="91"/>
      <c r="J274" s="97"/>
      <c r="K274" s="79"/>
      <c r="L274" s="79"/>
      <c r="M274" s="79" t="str">
        <f>Table72818224324048[[#This Row],[DBA]]&amp;" - "&amp;Table72818224324048[[#This Row],[BIN]]&amp;" - "&amp;Table72818224324048[[#This Row],[CAID]]</f>
        <v xml:space="preserve"> -  - </v>
      </c>
      <c r="N274" s="90"/>
    </row>
    <row r="275" spans="8:14" x14ac:dyDescent="0.25">
      <c r="H275" s="91"/>
      <c r="I275" s="91"/>
      <c r="J275" s="97"/>
      <c r="K275" s="79"/>
      <c r="L275" s="79"/>
      <c r="M275" s="79" t="str">
        <f>Table72818224324048[[#This Row],[DBA]]&amp;" - "&amp;Table72818224324048[[#This Row],[BIN]]&amp;" - "&amp;Table72818224324048[[#This Row],[CAID]]</f>
        <v xml:space="preserve"> -  - </v>
      </c>
      <c r="N275" s="90"/>
    </row>
    <row r="276" spans="8:14" x14ac:dyDescent="0.25">
      <c r="H276" s="91"/>
      <c r="I276" s="91"/>
      <c r="J276" s="97"/>
      <c r="K276" s="79"/>
      <c r="L276" s="79"/>
      <c r="M276" s="79" t="str">
        <f>Table72818224324048[[#This Row],[DBA]]&amp;" - "&amp;Table72818224324048[[#This Row],[BIN]]&amp;" - "&amp;Table72818224324048[[#This Row],[CAID]]</f>
        <v xml:space="preserve"> -  - </v>
      </c>
      <c r="N276" s="90"/>
    </row>
    <row r="277" spans="8:14" x14ac:dyDescent="0.25">
      <c r="H277" s="91"/>
      <c r="I277" s="91"/>
      <c r="J277" s="97"/>
      <c r="K277" s="79"/>
      <c r="L277" s="79"/>
      <c r="M277" s="79" t="str">
        <f>Table72818224324048[[#This Row],[DBA]]&amp;" - "&amp;Table72818224324048[[#This Row],[BIN]]&amp;" - "&amp;Table72818224324048[[#This Row],[CAID]]</f>
        <v xml:space="preserve"> -  - </v>
      </c>
      <c r="N277" s="90"/>
    </row>
    <row r="278" spans="8:14" x14ac:dyDescent="0.25">
      <c r="H278" s="91"/>
      <c r="I278" s="91"/>
      <c r="J278" s="97"/>
      <c r="K278" s="79"/>
      <c r="L278" s="79"/>
      <c r="M278" s="79" t="str">
        <f>Table72818224324048[[#This Row],[DBA]]&amp;" - "&amp;Table72818224324048[[#This Row],[BIN]]&amp;" - "&amp;Table72818224324048[[#This Row],[CAID]]</f>
        <v xml:space="preserve"> -  - </v>
      </c>
      <c r="N278" s="90"/>
    </row>
    <row r="279" spans="8:14" x14ac:dyDescent="0.25">
      <c r="H279" s="91"/>
      <c r="I279" s="91"/>
      <c r="J279" s="97"/>
      <c r="K279" s="79"/>
      <c r="L279" s="79"/>
      <c r="M279" s="79" t="str">
        <f>Table72818224324048[[#This Row],[DBA]]&amp;" - "&amp;Table72818224324048[[#This Row],[BIN]]&amp;" - "&amp;Table72818224324048[[#This Row],[CAID]]</f>
        <v xml:space="preserve"> -  - </v>
      </c>
      <c r="N279" s="90"/>
    </row>
    <row r="280" spans="8:14" x14ac:dyDescent="0.25">
      <c r="H280" s="91"/>
      <c r="I280" s="91"/>
      <c r="J280" s="97"/>
      <c r="K280" s="79"/>
      <c r="L280" s="79"/>
      <c r="M280" s="79" t="str">
        <f>Table72818224324048[[#This Row],[DBA]]&amp;" - "&amp;Table72818224324048[[#This Row],[BIN]]&amp;" - "&amp;Table72818224324048[[#This Row],[CAID]]</f>
        <v xml:space="preserve"> -  - </v>
      </c>
      <c r="N280" s="90"/>
    </row>
    <row r="281" spans="8:14" x14ac:dyDescent="0.25">
      <c r="H281" s="91"/>
      <c r="I281" s="91"/>
      <c r="J281" s="97"/>
      <c r="K281" s="79"/>
      <c r="L281" s="79"/>
      <c r="M281" s="79" t="str">
        <f>Table72818224324048[[#This Row],[DBA]]&amp;" - "&amp;Table72818224324048[[#This Row],[BIN]]&amp;" - "&amp;Table72818224324048[[#This Row],[CAID]]</f>
        <v xml:space="preserve"> -  - </v>
      </c>
      <c r="N281" s="90"/>
    </row>
    <row r="282" spans="8:14" x14ac:dyDescent="0.25">
      <c r="H282" s="91"/>
      <c r="I282" s="91"/>
      <c r="J282" s="97"/>
      <c r="K282" s="79"/>
      <c r="L282" s="79"/>
      <c r="M282" s="79" t="str">
        <f>Table72818224324048[[#This Row],[DBA]]&amp;" - "&amp;Table72818224324048[[#This Row],[BIN]]&amp;" - "&amp;Table72818224324048[[#This Row],[CAID]]</f>
        <v xml:space="preserve"> -  - </v>
      </c>
      <c r="N282" s="90"/>
    </row>
    <row r="283" spans="8:14" x14ac:dyDescent="0.25">
      <c r="H283" s="91"/>
      <c r="I283" s="91"/>
      <c r="J283" s="97"/>
      <c r="K283" s="79"/>
      <c r="L283" s="79"/>
      <c r="M283" s="79" t="str">
        <f>Table72818224324048[[#This Row],[DBA]]&amp;" - "&amp;Table72818224324048[[#This Row],[BIN]]&amp;" - "&amp;Table72818224324048[[#This Row],[CAID]]</f>
        <v xml:space="preserve"> -  - </v>
      </c>
      <c r="N283" s="90"/>
    </row>
    <row r="284" spans="8:14" x14ac:dyDescent="0.25">
      <c r="H284" s="91"/>
      <c r="I284" s="91"/>
      <c r="J284" s="97"/>
      <c r="K284" s="79"/>
      <c r="L284" s="79"/>
      <c r="M284" s="79" t="str">
        <f>Table72818224324048[[#This Row],[DBA]]&amp;" - "&amp;Table72818224324048[[#This Row],[BIN]]&amp;" - "&amp;Table72818224324048[[#This Row],[CAID]]</f>
        <v xml:space="preserve"> -  - </v>
      </c>
      <c r="N284" s="90"/>
    </row>
    <row r="285" spans="8:14" x14ac:dyDescent="0.25">
      <c r="H285" s="91"/>
      <c r="I285" s="91"/>
      <c r="J285" s="97"/>
      <c r="K285" s="79"/>
      <c r="L285" s="79"/>
      <c r="M285" s="79" t="str">
        <f>Table72818224324048[[#This Row],[DBA]]&amp;" - "&amp;Table72818224324048[[#This Row],[BIN]]&amp;" - "&amp;Table72818224324048[[#This Row],[CAID]]</f>
        <v xml:space="preserve"> -  - </v>
      </c>
      <c r="N285" s="90"/>
    </row>
    <row r="286" spans="8:14" x14ac:dyDescent="0.25">
      <c r="H286" s="91"/>
      <c r="I286" s="91"/>
      <c r="J286" s="97"/>
      <c r="K286" s="79"/>
      <c r="L286" s="79"/>
      <c r="M286" s="79" t="str">
        <f>Table72818224324048[[#This Row],[DBA]]&amp;" - "&amp;Table72818224324048[[#This Row],[BIN]]&amp;" - "&amp;Table72818224324048[[#This Row],[CAID]]</f>
        <v xml:space="preserve"> -  - </v>
      </c>
      <c r="N286" s="90"/>
    </row>
    <row r="287" spans="8:14" x14ac:dyDescent="0.25">
      <c r="H287" s="91"/>
      <c r="I287" s="91"/>
      <c r="J287" s="97"/>
      <c r="K287" s="79"/>
      <c r="L287" s="79"/>
      <c r="M287" s="79" t="str">
        <f>Table72818224324048[[#This Row],[DBA]]&amp;" - "&amp;Table72818224324048[[#This Row],[BIN]]&amp;" - "&amp;Table72818224324048[[#This Row],[CAID]]</f>
        <v xml:space="preserve"> -  - </v>
      </c>
      <c r="N287" s="90"/>
    </row>
    <row r="288" spans="8:14" x14ac:dyDescent="0.25">
      <c r="H288" s="91"/>
      <c r="I288" s="91"/>
      <c r="J288" s="97"/>
      <c r="K288" s="79"/>
      <c r="L288" s="79"/>
      <c r="M288" s="79" t="str">
        <f>Table72818224324048[[#This Row],[DBA]]&amp;" - "&amp;Table72818224324048[[#This Row],[BIN]]&amp;" - "&amp;Table72818224324048[[#This Row],[CAID]]</f>
        <v xml:space="preserve"> -  - </v>
      </c>
      <c r="N288" s="90"/>
    </row>
    <row r="289" spans="8:14" x14ac:dyDescent="0.25">
      <c r="H289" s="91"/>
      <c r="I289" s="91"/>
      <c r="J289" s="97"/>
      <c r="K289" s="79"/>
      <c r="L289" s="79"/>
      <c r="M289" s="79" t="str">
        <f>Table72818224324048[[#This Row],[DBA]]&amp;" - "&amp;Table72818224324048[[#This Row],[BIN]]&amp;" - "&amp;Table72818224324048[[#This Row],[CAID]]</f>
        <v xml:space="preserve"> -  - </v>
      </c>
      <c r="N289" s="90"/>
    </row>
    <row r="290" spans="8:14" x14ac:dyDescent="0.25">
      <c r="H290" s="91"/>
      <c r="I290" s="91"/>
      <c r="J290" s="97"/>
      <c r="K290" s="79"/>
      <c r="L290" s="79"/>
      <c r="M290" s="79" t="str">
        <f>Table72818224324048[[#This Row],[DBA]]&amp;" - "&amp;Table72818224324048[[#This Row],[BIN]]&amp;" - "&amp;Table72818224324048[[#This Row],[CAID]]</f>
        <v xml:space="preserve"> -  - </v>
      </c>
      <c r="N290" s="90"/>
    </row>
    <row r="291" spans="8:14" x14ac:dyDescent="0.25">
      <c r="H291" s="91"/>
      <c r="I291" s="91"/>
      <c r="J291" s="97"/>
      <c r="K291" s="79"/>
      <c r="L291" s="79"/>
      <c r="M291" s="79" t="str">
        <f>Table72818224324048[[#This Row],[DBA]]&amp;" - "&amp;Table72818224324048[[#This Row],[BIN]]&amp;" - "&amp;Table72818224324048[[#This Row],[CAID]]</f>
        <v xml:space="preserve"> -  - </v>
      </c>
      <c r="N291" s="90"/>
    </row>
    <row r="292" spans="8:14" x14ac:dyDescent="0.25">
      <c r="H292" s="91"/>
      <c r="I292" s="91"/>
      <c r="J292" s="97"/>
      <c r="K292" s="79"/>
      <c r="L292" s="79"/>
      <c r="M292" s="79" t="str">
        <f>Table72818224324048[[#This Row],[DBA]]&amp;" - "&amp;Table72818224324048[[#This Row],[BIN]]&amp;" - "&amp;Table72818224324048[[#This Row],[CAID]]</f>
        <v xml:space="preserve"> -  - </v>
      </c>
      <c r="N292" s="90"/>
    </row>
    <row r="293" spans="8:14" x14ac:dyDescent="0.25">
      <c r="H293" s="91"/>
      <c r="I293" s="91"/>
      <c r="J293" s="97"/>
      <c r="K293" s="79"/>
      <c r="L293" s="79"/>
      <c r="M293" s="79" t="str">
        <f>Table72818224324048[[#This Row],[DBA]]&amp;" - "&amp;Table72818224324048[[#This Row],[BIN]]&amp;" - "&amp;Table72818224324048[[#This Row],[CAID]]</f>
        <v xml:space="preserve"> -  - </v>
      </c>
      <c r="N293" s="90"/>
    </row>
    <row r="294" spans="8:14" x14ac:dyDescent="0.25">
      <c r="H294" s="91"/>
      <c r="I294" s="91"/>
      <c r="J294" s="97"/>
      <c r="K294" s="79"/>
      <c r="L294" s="79"/>
      <c r="M294" s="79" t="str">
        <f>Table72818224324048[[#This Row],[DBA]]&amp;" - "&amp;Table72818224324048[[#This Row],[BIN]]&amp;" - "&amp;Table72818224324048[[#This Row],[CAID]]</f>
        <v xml:space="preserve"> -  - </v>
      </c>
      <c r="N294" s="90"/>
    </row>
    <row r="295" spans="8:14" x14ac:dyDescent="0.25">
      <c r="H295" s="91"/>
      <c r="I295" s="91"/>
      <c r="J295" s="97"/>
      <c r="K295" s="79"/>
      <c r="L295" s="79"/>
      <c r="M295" s="79" t="str">
        <f>Table72818224324048[[#This Row],[DBA]]&amp;" - "&amp;Table72818224324048[[#This Row],[BIN]]&amp;" - "&amp;Table72818224324048[[#This Row],[CAID]]</f>
        <v xml:space="preserve"> -  - </v>
      </c>
      <c r="N295" s="90"/>
    </row>
    <row r="296" spans="8:14" x14ac:dyDescent="0.25">
      <c r="H296" s="91"/>
      <c r="I296" s="91"/>
      <c r="J296" s="97"/>
      <c r="K296" s="79"/>
      <c r="L296" s="79"/>
      <c r="M296" s="79" t="str">
        <f>Table72818224324048[[#This Row],[DBA]]&amp;" - "&amp;Table72818224324048[[#This Row],[BIN]]&amp;" - "&amp;Table72818224324048[[#This Row],[CAID]]</f>
        <v xml:space="preserve"> -  - </v>
      </c>
      <c r="N296" s="90"/>
    </row>
    <row r="297" spans="8:14" x14ac:dyDescent="0.25">
      <c r="H297" s="91"/>
      <c r="I297" s="91"/>
      <c r="J297" s="97"/>
      <c r="K297" s="79"/>
      <c r="L297" s="79"/>
      <c r="M297" s="79" t="str">
        <f>Table72818224324048[[#This Row],[DBA]]&amp;" - "&amp;Table72818224324048[[#This Row],[BIN]]&amp;" - "&amp;Table72818224324048[[#This Row],[CAID]]</f>
        <v xml:space="preserve"> -  - </v>
      </c>
      <c r="N297" s="90"/>
    </row>
    <row r="298" spans="8:14" x14ac:dyDescent="0.25">
      <c r="H298" s="91"/>
      <c r="I298" s="91"/>
      <c r="J298" s="97"/>
      <c r="K298" s="79"/>
      <c r="L298" s="79"/>
      <c r="M298" s="79" t="str">
        <f>Table72818224324048[[#This Row],[DBA]]&amp;" - "&amp;Table72818224324048[[#This Row],[BIN]]&amp;" - "&amp;Table72818224324048[[#This Row],[CAID]]</f>
        <v xml:space="preserve"> -  - </v>
      </c>
      <c r="N298" s="90"/>
    </row>
    <row r="299" spans="8:14" x14ac:dyDescent="0.25">
      <c r="H299" s="91"/>
      <c r="I299" s="91"/>
      <c r="J299" s="97"/>
      <c r="K299" s="79"/>
      <c r="L299" s="79"/>
      <c r="M299" s="79" t="str">
        <f>Table72818224324048[[#This Row],[DBA]]&amp;" - "&amp;Table72818224324048[[#This Row],[BIN]]&amp;" - "&amp;Table72818224324048[[#This Row],[CAID]]</f>
        <v xml:space="preserve"> -  - </v>
      </c>
      <c r="N299" s="90"/>
    </row>
    <row r="300" spans="8:14" x14ac:dyDescent="0.25">
      <c r="H300" s="91"/>
      <c r="I300" s="91"/>
      <c r="J300" s="97"/>
      <c r="K300" s="79"/>
      <c r="L300" s="79"/>
      <c r="M300" s="79" t="str">
        <f>Table72818224324048[[#This Row],[DBA]]&amp;" - "&amp;Table72818224324048[[#This Row],[BIN]]&amp;" - "&amp;Table72818224324048[[#This Row],[CAID]]</f>
        <v xml:space="preserve"> -  - </v>
      </c>
      <c r="N300" s="90"/>
    </row>
    <row r="301" spans="8:14" x14ac:dyDescent="0.25">
      <c r="H301" s="91"/>
      <c r="I301" s="91"/>
      <c r="J301" s="97"/>
      <c r="K301" s="79"/>
      <c r="L301" s="79"/>
      <c r="M301" s="79" t="str">
        <f>Table72818224324048[[#This Row],[DBA]]&amp;" - "&amp;Table72818224324048[[#This Row],[BIN]]&amp;" - "&amp;Table72818224324048[[#This Row],[CAID]]</f>
        <v xml:space="preserve"> -  - </v>
      </c>
      <c r="N301" s="90"/>
    </row>
    <row r="302" spans="8:14" x14ac:dyDescent="0.25">
      <c r="H302" s="91"/>
      <c r="I302" s="91"/>
      <c r="J302" s="97"/>
      <c r="K302" s="79"/>
      <c r="L302" s="79"/>
      <c r="M302" s="79" t="str">
        <f>Table72818224324048[[#This Row],[DBA]]&amp;" - "&amp;Table72818224324048[[#This Row],[BIN]]&amp;" - "&amp;Table72818224324048[[#This Row],[CAID]]</f>
        <v xml:space="preserve"> -  - </v>
      </c>
      <c r="N302" s="90"/>
    </row>
    <row r="303" spans="8:14" x14ac:dyDescent="0.25">
      <c r="H303" s="91"/>
      <c r="I303" s="91"/>
      <c r="J303" s="97"/>
      <c r="K303" s="79"/>
      <c r="L303" s="79"/>
      <c r="M303" s="79" t="str">
        <f>Table72818224324048[[#This Row],[DBA]]&amp;" - "&amp;Table72818224324048[[#This Row],[BIN]]&amp;" - "&amp;Table72818224324048[[#This Row],[CAID]]</f>
        <v xml:space="preserve"> -  - </v>
      </c>
      <c r="N303" s="90"/>
    </row>
    <row r="304" spans="8:14" x14ac:dyDescent="0.25">
      <c r="H304" s="91"/>
      <c r="I304" s="91"/>
      <c r="J304" s="97"/>
      <c r="K304" s="79"/>
      <c r="L304" s="79"/>
      <c r="M304" s="79" t="str">
        <f>Table72818224324048[[#This Row],[DBA]]&amp;" - "&amp;Table72818224324048[[#This Row],[BIN]]&amp;" - "&amp;Table72818224324048[[#This Row],[CAID]]</f>
        <v xml:space="preserve"> -  - </v>
      </c>
      <c r="N304" s="90"/>
    </row>
    <row r="305" spans="8:14" x14ac:dyDescent="0.25">
      <c r="H305" s="91"/>
      <c r="I305" s="91"/>
      <c r="J305" s="97"/>
      <c r="K305" s="79"/>
      <c r="L305" s="79"/>
      <c r="M305" s="79" t="str">
        <f>Table72818224324048[[#This Row],[DBA]]&amp;" - "&amp;Table72818224324048[[#This Row],[BIN]]&amp;" - "&amp;Table72818224324048[[#This Row],[CAID]]</f>
        <v xml:space="preserve"> -  - </v>
      </c>
      <c r="N305" s="90"/>
    </row>
    <row r="306" spans="8:14" x14ac:dyDescent="0.25">
      <c r="H306" s="92"/>
      <c r="I306" s="92"/>
      <c r="J306" s="97"/>
      <c r="K306" s="89"/>
      <c r="L306" s="89"/>
      <c r="M306" s="89" t="str">
        <f>Table72818224324048[[#This Row],[DBA]]&amp;" - "&amp;Table72818224324048[[#This Row],[BIN]]&amp;" - "&amp;Table72818224324048[[#This Row],[CAID]]</f>
        <v xml:space="preserve"> -  - </v>
      </c>
      <c r="N306" s="90"/>
    </row>
  </sheetData>
  <mergeCells count="5">
    <mergeCell ref="C4:D4"/>
    <mergeCell ref="C6:D6"/>
    <mergeCell ref="H6:O6"/>
    <mergeCell ref="C2:D2"/>
    <mergeCell ref="C3:D3"/>
  </mergeCells>
  <dataValidations count="11">
    <dataValidation type="list" allowBlank="1" showInputMessage="1" sqref="D15 D20 D25 D30 D35 D40 D10:D11" xr:uid="{856D8C76-A60E-4D64-8B17-CE43EDF3740B}">
      <formula1>INDIRECT(SUBSTITUTE(B10&amp;C10," ",""))</formula1>
    </dataValidation>
    <dataValidation type="list" allowBlank="1" showInputMessage="1" showErrorMessage="1" sqref="C15 C20 C25 C30 C35 C40 C10:C11" xr:uid="{F6E27AF6-8509-4D54-9822-1888A5DC6A7E}">
      <formula1>INDIRECT(B10)</formula1>
    </dataValidation>
    <dataValidation type="list" allowBlank="1" showInputMessage="1" showErrorMessage="1" sqref="B10:B11 B15 B20 B25 B30 B35 B40" xr:uid="{72826B34-76B1-414F-BA5E-35B87B4302F8}">
      <formula1>Rule</formula1>
    </dataValidation>
    <dataValidation type="textLength" allowBlank="1" showInputMessage="1" showErrorMessage="1" promptTitle="BIN" prompt="The BIN has to be 6 characters only" sqref="H9:H306" xr:uid="{0EA108C1-80D1-4F60-A53A-B000E5DCB8F4}">
      <formula1>6</formula1>
      <formula2>6</formula2>
    </dataValidation>
    <dataValidation type="textLength" allowBlank="1" showInputMessage="1" showErrorMessage="1" promptTitle="CAID" prompt="CAID cannot be greater than 15 characters" sqref="I9:I306" xr:uid="{284B50C2-16B3-4B15-945B-8FBED0BFCD27}">
      <formula1>0</formula1>
      <formula2>15</formula2>
    </dataValidation>
    <dataValidation allowBlank="1" showInputMessage="1" showErrorMessage="1" promptTitle="Do not change this cell" prompt="The function attached will create the merchant name.  This is for Verifi Only" sqref="M9:M306" xr:uid="{7CE46EDC-C958-4A64-BD8B-500403ED1849}"/>
    <dataValidation type="textLength" allowBlank="1" showInputMessage="1" showErrorMessage="1" promptTitle="DBA" prompt="DBA can only be up to 20 characters" sqref="L9:L306" xr:uid="{BC7A21CD-5783-49CE-8363-CF45F25C7BE7}">
      <formula1>0</formula1>
      <formula2>20</formula2>
    </dataValidation>
    <dataValidation allowBlank="1" showInputMessage="1" showErrorMessage="1" promptTitle="Merchant Category Code" prompt="This is the Merchant Category Code associated with the BIN/CAID" sqref="K9:K306" xr:uid="{4D2F342A-90AA-49E3-B59E-D8558B871DD6}"/>
    <dataValidation allowBlank="1" showInputMessage="1" showErrorMessage="1" promptTitle="Merchant ID" prompt="This cell contains the Merchant ID for the Merchant account.  This will be populated by Verifi" sqref="N9:N306" xr:uid="{C147AAFA-389C-482D-A284-CF7BC8A502D8}"/>
    <dataValidation allowBlank="1" showInputMessage="1" showErrorMessage="1" promptTitle="ARN (Acquirer Reference Number)" prompt="ARN (Acquirer Reference Number)" sqref="J9:J306" xr:uid="{BD6D016E-6A56-4B33-8822-15C9934A806E}"/>
    <dataValidation allowBlank="1" showInputMessage="1" showErrorMessage="1" promptTitle="Rule Name" prompt="Rule Name is the rule identifier created by the seller and made available in reporting for insight into why an RDR case_x000a_was accepted. _x000a__x000a_Keep rule names short, explicit, and clear enough to be referenced in RDR communications. _x000a__x000a_" sqref="C6:D6" xr:uid="{F6C2B4F9-229D-4FEB-991C-FE2210CFC947}"/>
  </dataValidations>
  <pageMargins left="0.75" right="0.75" top="0.75" bottom="0.75" header="0.5" footer="0.5"/>
  <pageSetup orientation="portrait" r:id="rId1"/>
  <headerFooter alignWithMargins="0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F1E1C-801C-409A-874E-643DE2D15818}">
  <dimension ref="B1:O306"/>
  <sheetViews>
    <sheetView showGridLines="0" workbookViewId="0">
      <selection activeCell="C2" sqref="C2:D2"/>
    </sheetView>
  </sheetViews>
  <sheetFormatPr defaultColWidth="8.77734375" defaultRowHeight="13.2" x14ac:dyDescent="0.25"/>
  <cols>
    <col min="1" max="1" width="2.21875" style="3" customWidth="1"/>
    <col min="2" max="2" width="24.77734375" style="3" bestFit="1" customWidth="1"/>
    <col min="3" max="3" width="22.77734375" style="3" customWidth="1"/>
    <col min="4" max="4" width="41.21875" style="3" bestFit="1" customWidth="1"/>
    <col min="5" max="5" width="13.21875" style="3" customWidth="1"/>
    <col min="6" max="6" width="8.77734375" style="3"/>
    <col min="7" max="7" width="14.44140625" style="3" customWidth="1"/>
    <col min="8" max="8" width="10.21875" style="3" customWidth="1"/>
    <col min="9" max="10" width="25.21875" style="3" customWidth="1"/>
    <col min="11" max="11" width="12.44140625" style="3" bestFit="1" customWidth="1"/>
    <col min="12" max="12" width="12.44140625" style="3" customWidth="1"/>
    <col min="13" max="13" width="34" style="3" bestFit="1" customWidth="1"/>
    <col min="14" max="14" width="28" style="3" customWidth="1"/>
    <col min="15" max="15" width="14.21875" style="3" bestFit="1" customWidth="1"/>
    <col min="16" max="16384" width="8.77734375" style="3"/>
  </cols>
  <sheetData>
    <row r="1" spans="2:15" ht="13.8" thickBot="1" x14ac:dyDescent="0.3"/>
    <row r="2" spans="2:15" ht="13.8" thickBot="1" x14ac:dyDescent="0.3">
      <c r="B2" s="100" t="s">
        <v>345</v>
      </c>
      <c r="C2" s="116" t="s">
        <v>347</v>
      </c>
      <c r="D2" s="117"/>
      <c r="I2" s="95"/>
      <c r="J2" s="95"/>
    </row>
    <row r="3" spans="2:15" ht="13.8" thickBot="1" x14ac:dyDescent="0.3">
      <c r="B3" s="101" t="s">
        <v>344</v>
      </c>
      <c r="C3" s="116">
        <v>11600</v>
      </c>
      <c r="D3" s="117"/>
      <c r="I3" s="95"/>
      <c r="J3" s="95"/>
    </row>
    <row r="4" spans="2:15" ht="13.8" thickBot="1" x14ac:dyDescent="0.3">
      <c r="B4" s="100" t="s">
        <v>332</v>
      </c>
      <c r="C4" s="112"/>
      <c r="D4" s="112"/>
      <c r="I4" s="95"/>
      <c r="J4" s="95"/>
    </row>
    <row r="5" spans="2:15" ht="13.8" thickBot="1" x14ac:dyDescent="0.3">
      <c r="B5" s="101" t="s">
        <v>343</v>
      </c>
      <c r="C5" s="102"/>
      <c r="D5" s="103"/>
      <c r="I5" s="95"/>
      <c r="J5" s="95"/>
    </row>
    <row r="6" spans="2:15" ht="13.8" thickBot="1" x14ac:dyDescent="0.3">
      <c r="B6" s="100" t="s">
        <v>334</v>
      </c>
      <c r="C6" s="112"/>
      <c r="D6" s="112"/>
      <c r="H6" s="113" t="s">
        <v>330</v>
      </c>
      <c r="I6" s="114"/>
      <c r="J6" s="114"/>
      <c r="K6" s="114"/>
      <c r="L6" s="114"/>
      <c r="M6" s="114"/>
      <c r="N6" s="114"/>
      <c r="O6" s="115"/>
    </row>
    <row r="7" spans="2:15" x14ac:dyDescent="0.25">
      <c r="B7" s="87"/>
      <c r="C7" s="87"/>
    </row>
    <row r="8" spans="2:15" ht="13.8" thickBot="1" x14ac:dyDescent="0.3">
      <c r="C8" s="13"/>
      <c r="H8" s="13" t="s">
        <v>84</v>
      </c>
      <c r="I8" s="13" t="s">
        <v>85</v>
      </c>
      <c r="J8" s="88" t="s">
        <v>342</v>
      </c>
      <c r="K8" s="88" t="s">
        <v>339</v>
      </c>
      <c r="L8" s="88" t="s">
        <v>333</v>
      </c>
      <c r="M8" s="93" t="s">
        <v>340</v>
      </c>
      <c r="N8" s="94" t="s">
        <v>341</v>
      </c>
    </row>
    <row r="9" spans="2:15" ht="18.75" customHeight="1" thickBot="1" x14ac:dyDescent="0.3">
      <c r="B9" s="80" t="s">
        <v>329</v>
      </c>
      <c r="C9" s="81" t="s">
        <v>64</v>
      </c>
      <c r="D9" s="82" t="s">
        <v>63</v>
      </c>
      <c r="H9" s="96"/>
      <c r="I9" s="96"/>
      <c r="J9" s="98"/>
      <c r="K9" s="99"/>
      <c r="L9" s="99"/>
      <c r="M9" s="90" t="str">
        <f>Table7281822432404856[[#This Row],[DBA]]&amp;" - "&amp;Table7281822432404856[[#This Row],[BIN]]&amp;" - "&amp;Table7281822432404856[[#This Row],[CAID]]</f>
        <v xml:space="preserve"> -  - </v>
      </c>
      <c r="N9" s="90"/>
    </row>
    <row r="10" spans="2:15" ht="13.8" thickBot="1" x14ac:dyDescent="0.3">
      <c r="B10" s="83"/>
      <c r="C10" s="84"/>
      <c r="D10" s="83"/>
      <c r="H10" s="91"/>
      <c r="I10" s="91"/>
      <c r="J10" s="97"/>
      <c r="K10" s="79"/>
      <c r="L10" s="79"/>
      <c r="M10" s="79" t="str">
        <f>Table7281822432404856[[#This Row],[DBA]]&amp;" - "&amp;Table7281822432404856[[#This Row],[BIN]]&amp;" - "&amp;Table7281822432404856[[#This Row],[CAID]]</f>
        <v xml:space="preserve"> -  - </v>
      </c>
      <c r="N10" s="90"/>
    </row>
    <row r="11" spans="2:15" x14ac:dyDescent="0.25">
      <c r="B11" s="85"/>
      <c r="C11" s="86"/>
      <c r="D11" s="85"/>
      <c r="H11" s="91"/>
      <c r="I11" s="91"/>
      <c r="J11" s="97"/>
      <c r="K11" s="79"/>
      <c r="L11" s="79"/>
      <c r="M11" s="79" t="str">
        <f>Table7281822432404856[[#This Row],[DBA]]&amp;" - "&amp;Table7281822432404856[[#This Row],[BIN]]&amp;" - "&amp;Table7281822432404856[[#This Row],[CAID]]</f>
        <v xml:space="preserve"> -  - </v>
      </c>
      <c r="N11" s="90"/>
    </row>
    <row r="12" spans="2:15" x14ac:dyDescent="0.25">
      <c r="C12" s="30" t="s">
        <v>83</v>
      </c>
      <c r="H12" s="91"/>
      <c r="I12" s="91"/>
      <c r="J12" s="97"/>
      <c r="K12" s="79"/>
      <c r="L12" s="79"/>
      <c r="M12" s="79" t="str">
        <f>Table7281822432404856[[#This Row],[DBA]]&amp;" - "&amp;Table7281822432404856[[#This Row],[BIN]]&amp;" - "&amp;Table7281822432404856[[#This Row],[CAID]]</f>
        <v xml:space="preserve"> -  - </v>
      </c>
      <c r="N12" s="90"/>
    </row>
    <row r="13" spans="2:15" ht="13.8" thickBot="1" x14ac:dyDescent="0.3">
      <c r="C13" s="29"/>
      <c r="H13" s="91"/>
      <c r="I13" s="91"/>
      <c r="J13" s="97"/>
      <c r="K13" s="79"/>
      <c r="L13" s="79"/>
      <c r="M13" s="79" t="str">
        <f>Table7281822432404856[[#This Row],[DBA]]&amp;" - "&amp;Table7281822432404856[[#This Row],[BIN]]&amp;" - "&amp;Table7281822432404856[[#This Row],[CAID]]</f>
        <v xml:space="preserve"> -  - </v>
      </c>
      <c r="N13" s="90"/>
    </row>
    <row r="14" spans="2:15" ht="13.8" thickBot="1" x14ac:dyDescent="0.3">
      <c r="B14" s="80" t="s">
        <v>329</v>
      </c>
      <c r="C14" s="81" t="s">
        <v>64</v>
      </c>
      <c r="D14" s="82" t="s">
        <v>63</v>
      </c>
      <c r="H14" s="91"/>
      <c r="I14" s="91"/>
      <c r="J14" s="97"/>
      <c r="K14" s="79"/>
      <c r="L14" s="79"/>
      <c r="M14" s="79" t="str">
        <f>Table7281822432404856[[#This Row],[DBA]]&amp;" - "&amp;Table7281822432404856[[#This Row],[BIN]]&amp;" - "&amp;Table7281822432404856[[#This Row],[CAID]]</f>
        <v xml:space="preserve"> -  - </v>
      </c>
      <c r="N14" s="90"/>
    </row>
    <row r="15" spans="2:15" ht="13.8" thickBot="1" x14ac:dyDescent="0.3">
      <c r="B15" s="83"/>
      <c r="C15" s="84"/>
      <c r="D15" s="83"/>
      <c r="H15" s="91"/>
      <c r="I15" s="91"/>
      <c r="J15" s="97"/>
      <c r="K15" s="79"/>
      <c r="L15" s="79"/>
      <c r="M15" s="79" t="str">
        <f>Table7281822432404856[[#This Row],[DBA]]&amp;" - "&amp;Table7281822432404856[[#This Row],[BIN]]&amp;" - "&amp;Table7281822432404856[[#This Row],[CAID]]</f>
        <v xml:space="preserve"> -  - </v>
      </c>
      <c r="N15" s="90"/>
    </row>
    <row r="16" spans="2:15" x14ac:dyDescent="0.25">
      <c r="H16" s="91"/>
      <c r="I16" s="91"/>
      <c r="J16" s="97"/>
      <c r="K16" s="79"/>
      <c r="L16" s="79"/>
      <c r="M16" s="79" t="str">
        <f>Table7281822432404856[[#This Row],[DBA]]&amp;" - "&amp;Table7281822432404856[[#This Row],[BIN]]&amp;" - "&amp;Table7281822432404856[[#This Row],[CAID]]</f>
        <v xml:space="preserve"> -  - </v>
      </c>
      <c r="N16" s="90"/>
    </row>
    <row r="17" spans="2:14" x14ac:dyDescent="0.25">
      <c r="C17" s="30" t="s">
        <v>83</v>
      </c>
      <c r="H17" s="91"/>
      <c r="I17" s="91"/>
      <c r="J17" s="97"/>
      <c r="K17" s="79"/>
      <c r="L17" s="79"/>
      <c r="M17" s="79" t="str">
        <f>Table7281822432404856[[#This Row],[DBA]]&amp;" - "&amp;Table7281822432404856[[#This Row],[BIN]]&amp;" - "&amp;Table7281822432404856[[#This Row],[CAID]]</f>
        <v xml:space="preserve"> -  - </v>
      </c>
      <c r="N17" s="90"/>
    </row>
    <row r="18" spans="2:14" ht="13.8" thickBot="1" x14ac:dyDescent="0.3">
      <c r="C18" s="29"/>
      <c r="H18" s="91"/>
      <c r="I18" s="91"/>
      <c r="J18" s="97"/>
      <c r="K18" s="79"/>
      <c r="L18" s="79"/>
      <c r="M18" s="79" t="str">
        <f>Table7281822432404856[[#This Row],[DBA]]&amp;" - "&amp;Table7281822432404856[[#This Row],[BIN]]&amp;" - "&amp;Table7281822432404856[[#This Row],[CAID]]</f>
        <v xml:space="preserve"> -  - </v>
      </c>
      <c r="N18" s="90"/>
    </row>
    <row r="19" spans="2:14" ht="13.8" thickBot="1" x14ac:dyDescent="0.3">
      <c r="B19" s="80" t="s">
        <v>329</v>
      </c>
      <c r="C19" s="81" t="s">
        <v>64</v>
      </c>
      <c r="D19" s="82" t="s">
        <v>63</v>
      </c>
      <c r="H19" s="91"/>
      <c r="I19" s="91"/>
      <c r="J19" s="97"/>
      <c r="K19" s="79"/>
      <c r="L19" s="79"/>
      <c r="M19" s="79" t="str">
        <f>Table7281822432404856[[#This Row],[DBA]]&amp;" - "&amp;Table7281822432404856[[#This Row],[BIN]]&amp;" - "&amp;Table7281822432404856[[#This Row],[CAID]]</f>
        <v xml:space="preserve"> -  - </v>
      </c>
      <c r="N19" s="90"/>
    </row>
    <row r="20" spans="2:14" ht="13.8" thickBot="1" x14ac:dyDescent="0.3">
      <c r="B20" s="83"/>
      <c r="C20" s="84"/>
      <c r="D20" s="83"/>
      <c r="H20" s="91"/>
      <c r="I20" s="91"/>
      <c r="J20" s="97"/>
      <c r="K20" s="79"/>
      <c r="L20" s="79"/>
      <c r="M20" s="79" t="str">
        <f>Table7281822432404856[[#This Row],[DBA]]&amp;" - "&amp;Table7281822432404856[[#This Row],[BIN]]&amp;" - "&amp;Table7281822432404856[[#This Row],[CAID]]</f>
        <v xml:space="preserve"> -  - </v>
      </c>
      <c r="N20" s="90"/>
    </row>
    <row r="21" spans="2:14" x14ac:dyDescent="0.25">
      <c r="H21" s="91"/>
      <c r="I21" s="91"/>
      <c r="J21" s="97"/>
      <c r="K21" s="79"/>
      <c r="L21" s="79"/>
      <c r="M21" s="79" t="str">
        <f>Table7281822432404856[[#This Row],[DBA]]&amp;" - "&amp;Table7281822432404856[[#This Row],[BIN]]&amp;" - "&amp;Table7281822432404856[[#This Row],[CAID]]</f>
        <v xml:space="preserve"> -  - </v>
      </c>
      <c r="N21" s="90"/>
    </row>
    <row r="22" spans="2:14" x14ac:dyDescent="0.25">
      <c r="C22" s="30" t="s">
        <v>83</v>
      </c>
      <c r="H22" s="91"/>
      <c r="I22" s="91"/>
      <c r="J22" s="97"/>
      <c r="K22" s="79"/>
      <c r="L22" s="79"/>
      <c r="M22" s="79" t="str">
        <f>Table7281822432404856[[#This Row],[DBA]]&amp;" - "&amp;Table7281822432404856[[#This Row],[BIN]]&amp;" - "&amp;Table7281822432404856[[#This Row],[CAID]]</f>
        <v xml:space="preserve"> -  - </v>
      </c>
      <c r="N22" s="90"/>
    </row>
    <row r="23" spans="2:14" ht="13.8" thickBot="1" x14ac:dyDescent="0.3">
      <c r="C23" s="29"/>
      <c r="H23" s="91"/>
      <c r="I23" s="91"/>
      <c r="J23" s="97"/>
      <c r="K23" s="79"/>
      <c r="L23" s="79"/>
      <c r="M23" s="79" t="str">
        <f>Table7281822432404856[[#This Row],[DBA]]&amp;" - "&amp;Table7281822432404856[[#This Row],[BIN]]&amp;" - "&amp;Table7281822432404856[[#This Row],[CAID]]</f>
        <v xml:space="preserve"> -  - </v>
      </c>
      <c r="N23" s="90"/>
    </row>
    <row r="24" spans="2:14" ht="13.8" thickBot="1" x14ac:dyDescent="0.3">
      <c r="B24" s="80" t="s">
        <v>329</v>
      </c>
      <c r="C24" s="81" t="s">
        <v>64</v>
      </c>
      <c r="D24" s="82" t="s">
        <v>63</v>
      </c>
      <c r="H24" s="91"/>
      <c r="I24" s="91"/>
      <c r="J24" s="97"/>
      <c r="K24" s="79"/>
      <c r="L24" s="79"/>
      <c r="M24" s="79" t="str">
        <f>Table7281822432404856[[#This Row],[DBA]]&amp;" - "&amp;Table7281822432404856[[#This Row],[BIN]]&amp;" - "&amp;Table7281822432404856[[#This Row],[CAID]]</f>
        <v xml:space="preserve"> -  - </v>
      </c>
      <c r="N24" s="90"/>
    </row>
    <row r="25" spans="2:14" ht="13.8" thickBot="1" x14ac:dyDescent="0.3">
      <c r="B25" s="83"/>
      <c r="C25" s="84"/>
      <c r="D25" s="83"/>
      <c r="H25" s="91"/>
      <c r="I25" s="91"/>
      <c r="J25" s="97"/>
      <c r="K25" s="79"/>
      <c r="L25" s="79"/>
      <c r="M25" s="79" t="str">
        <f>Table7281822432404856[[#This Row],[DBA]]&amp;" - "&amp;Table7281822432404856[[#This Row],[BIN]]&amp;" - "&amp;Table7281822432404856[[#This Row],[CAID]]</f>
        <v xml:space="preserve"> -  - </v>
      </c>
      <c r="N25" s="90"/>
    </row>
    <row r="26" spans="2:14" x14ac:dyDescent="0.25">
      <c r="H26" s="91"/>
      <c r="I26" s="91"/>
      <c r="J26" s="97"/>
      <c r="K26" s="79"/>
      <c r="L26" s="79"/>
      <c r="M26" s="79" t="str">
        <f>Table7281822432404856[[#This Row],[DBA]]&amp;" - "&amp;Table7281822432404856[[#This Row],[BIN]]&amp;" - "&amp;Table7281822432404856[[#This Row],[CAID]]</f>
        <v xml:space="preserve"> -  - </v>
      </c>
      <c r="N26" s="90"/>
    </row>
    <row r="27" spans="2:14" x14ac:dyDescent="0.25">
      <c r="C27" s="30" t="s">
        <v>83</v>
      </c>
      <c r="H27" s="91"/>
      <c r="I27" s="91"/>
      <c r="J27" s="97"/>
      <c r="K27" s="79"/>
      <c r="L27" s="79"/>
      <c r="M27" s="79" t="str">
        <f>Table7281822432404856[[#This Row],[DBA]]&amp;" - "&amp;Table7281822432404856[[#This Row],[BIN]]&amp;" - "&amp;Table7281822432404856[[#This Row],[CAID]]</f>
        <v xml:space="preserve"> -  - </v>
      </c>
      <c r="N27" s="90"/>
    </row>
    <row r="28" spans="2:14" ht="13.8" thickBot="1" x14ac:dyDescent="0.3">
      <c r="C28" s="29"/>
      <c r="H28" s="91"/>
      <c r="I28" s="91"/>
      <c r="J28" s="97"/>
      <c r="K28" s="79"/>
      <c r="L28" s="79"/>
      <c r="M28" s="79" t="str">
        <f>Table7281822432404856[[#This Row],[DBA]]&amp;" - "&amp;Table7281822432404856[[#This Row],[BIN]]&amp;" - "&amp;Table7281822432404856[[#This Row],[CAID]]</f>
        <v xml:space="preserve"> -  - </v>
      </c>
      <c r="N28" s="90"/>
    </row>
    <row r="29" spans="2:14" ht="13.8" thickBot="1" x14ac:dyDescent="0.3">
      <c r="B29" s="80" t="s">
        <v>329</v>
      </c>
      <c r="C29" s="81" t="s">
        <v>64</v>
      </c>
      <c r="D29" s="82" t="s">
        <v>63</v>
      </c>
      <c r="H29" s="91"/>
      <c r="I29" s="91"/>
      <c r="J29" s="97"/>
      <c r="K29" s="79"/>
      <c r="L29" s="79"/>
      <c r="M29" s="79" t="str">
        <f>Table7281822432404856[[#This Row],[DBA]]&amp;" - "&amp;Table7281822432404856[[#This Row],[BIN]]&amp;" - "&amp;Table7281822432404856[[#This Row],[CAID]]</f>
        <v xml:space="preserve"> -  - </v>
      </c>
      <c r="N29" s="90"/>
    </row>
    <row r="30" spans="2:14" ht="13.8" thickBot="1" x14ac:dyDescent="0.3">
      <c r="B30" s="83"/>
      <c r="C30" s="84"/>
      <c r="D30" s="83"/>
      <c r="H30" s="91"/>
      <c r="I30" s="91"/>
      <c r="J30" s="97"/>
      <c r="K30" s="79"/>
      <c r="L30" s="79"/>
      <c r="M30" s="79" t="str">
        <f>Table7281822432404856[[#This Row],[DBA]]&amp;" - "&amp;Table7281822432404856[[#This Row],[BIN]]&amp;" - "&amp;Table7281822432404856[[#This Row],[CAID]]</f>
        <v xml:space="preserve"> -  - </v>
      </c>
      <c r="N30" s="90"/>
    </row>
    <row r="31" spans="2:14" x14ac:dyDescent="0.25">
      <c r="H31" s="91"/>
      <c r="I31" s="91"/>
      <c r="J31" s="97"/>
      <c r="K31" s="79"/>
      <c r="L31" s="79"/>
      <c r="M31" s="79" t="str">
        <f>Table7281822432404856[[#This Row],[DBA]]&amp;" - "&amp;Table7281822432404856[[#This Row],[BIN]]&amp;" - "&amp;Table7281822432404856[[#This Row],[CAID]]</f>
        <v xml:space="preserve"> -  - </v>
      </c>
      <c r="N31" s="90"/>
    </row>
    <row r="32" spans="2:14" x14ac:dyDescent="0.25">
      <c r="C32" s="30" t="s">
        <v>83</v>
      </c>
      <c r="H32" s="91"/>
      <c r="I32" s="91"/>
      <c r="J32" s="97"/>
      <c r="K32" s="79"/>
      <c r="L32" s="79"/>
      <c r="M32" s="79" t="str">
        <f>Table7281822432404856[[#This Row],[DBA]]&amp;" - "&amp;Table7281822432404856[[#This Row],[BIN]]&amp;" - "&amp;Table7281822432404856[[#This Row],[CAID]]</f>
        <v xml:space="preserve"> -  - </v>
      </c>
      <c r="N32" s="90"/>
    </row>
    <row r="33" spans="2:14" ht="13.8" thickBot="1" x14ac:dyDescent="0.3">
      <c r="C33" s="29"/>
      <c r="H33" s="91"/>
      <c r="I33" s="91"/>
      <c r="J33" s="97"/>
      <c r="K33" s="79"/>
      <c r="L33" s="79"/>
      <c r="M33" s="79" t="str">
        <f>Table7281822432404856[[#This Row],[DBA]]&amp;" - "&amp;Table7281822432404856[[#This Row],[BIN]]&amp;" - "&amp;Table7281822432404856[[#This Row],[CAID]]</f>
        <v xml:space="preserve"> -  - </v>
      </c>
      <c r="N33" s="90"/>
    </row>
    <row r="34" spans="2:14" ht="13.8" thickBot="1" x14ac:dyDescent="0.3">
      <c r="B34" s="80" t="s">
        <v>329</v>
      </c>
      <c r="C34" s="81" t="s">
        <v>64</v>
      </c>
      <c r="D34" s="82" t="s">
        <v>63</v>
      </c>
      <c r="H34" s="91"/>
      <c r="I34" s="91"/>
      <c r="J34" s="97"/>
      <c r="K34" s="79"/>
      <c r="L34" s="79"/>
      <c r="M34" s="79" t="str">
        <f>Table7281822432404856[[#This Row],[DBA]]&amp;" - "&amp;Table7281822432404856[[#This Row],[BIN]]&amp;" - "&amp;Table7281822432404856[[#This Row],[CAID]]</f>
        <v xml:space="preserve"> -  - </v>
      </c>
      <c r="N34" s="90"/>
    </row>
    <row r="35" spans="2:14" ht="13.8" thickBot="1" x14ac:dyDescent="0.3">
      <c r="B35" s="83"/>
      <c r="C35" s="84"/>
      <c r="D35" s="83"/>
      <c r="H35" s="91"/>
      <c r="I35" s="91"/>
      <c r="J35" s="97"/>
      <c r="K35" s="79"/>
      <c r="L35" s="79"/>
      <c r="M35" s="79" t="str">
        <f>Table7281822432404856[[#This Row],[DBA]]&amp;" - "&amp;Table7281822432404856[[#This Row],[BIN]]&amp;" - "&amp;Table7281822432404856[[#This Row],[CAID]]</f>
        <v xml:space="preserve"> -  - </v>
      </c>
      <c r="N35" s="90"/>
    </row>
    <row r="36" spans="2:14" x14ac:dyDescent="0.25">
      <c r="H36" s="91"/>
      <c r="I36" s="91"/>
      <c r="J36" s="97"/>
      <c r="K36" s="79"/>
      <c r="L36" s="79"/>
      <c r="M36" s="79" t="str">
        <f>Table7281822432404856[[#This Row],[DBA]]&amp;" - "&amp;Table7281822432404856[[#This Row],[BIN]]&amp;" - "&amp;Table7281822432404856[[#This Row],[CAID]]</f>
        <v xml:space="preserve"> -  - </v>
      </c>
      <c r="N36" s="90"/>
    </row>
    <row r="37" spans="2:14" x14ac:dyDescent="0.25">
      <c r="C37" s="30" t="s">
        <v>83</v>
      </c>
      <c r="H37" s="91"/>
      <c r="I37" s="91"/>
      <c r="J37" s="97"/>
      <c r="K37" s="79"/>
      <c r="L37" s="79"/>
      <c r="M37" s="79" t="str">
        <f>Table7281822432404856[[#This Row],[DBA]]&amp;" - "&amp;Table7281822432404856[[#This Row],[BIN]]&amp;" - "&amp;Table7281822432404856[[#This Row],[CAID]]</f>
        <v xml:space="preserve"> -  - </v>
      </c>
      <c r="N37" s="90"/>
    </row>
    <row r="38" spans="2:14" ht="13.8" thickBot="1" x14ac:dyDescent="0.3">
      <c r="C38" s="29"/>
      <c r="H38" s="91"/>
      <c r="I38" s="91"/>
      <c r="J38" s="97"/>
      <c r="K38" s="79"/>
      <c r="L38" s="79"/>
      <c r="M38" s="79" t="str">
        <f>Table7281822432404856[[#This Row],[DBA]]&amp;" - "&amp;Table7281822432404856[[#This Row],[BIN]]&amp;" - "&amp;Table7281822432404856[[#This Row],[CAID]]</f>
        <v xml:space="preserve"> -  - </v>
      </c>
      <c r="N38" s="90"/>
    </row>
    <row r="39" spans="2:14" ht="13.8" thickBot="1" x14ac:dyDescent="0.3">
      <c r="B39" s="80" t="s">
        <v>329</v>
      </c>
      <c r="C39" s="81" t="s">
        <v>64</v>
      </c>
      <c r="D39" s="82" t="s">
        <v>63</v>
      </c>
      <c r="H39" s="91"/>
      <c r="I39" s="91"/>
      <c r="J39" s="97"/>
      <c r="K39" s="79"/>
      <c r="L39" s="79"/>
      <c r="M39" s="79" t="str">
        <f>Table7281822432404856[[#This Row],[DBA]]&amp;" - "&amp;Table7281822432404856[[#This Row],[BIN]]&amp;" - "&amp;Table7281822432404856[[#This Row],[CAID]]</f>
        <v xml:space="preserve"> -  - </v>
      </c>
      <c r="N39" s="90"/>
    </row>
    <row r="40" spans="2:14" ht="13.8" thickBot="1" x14ac:dyDescent="0.3">
      <c r="B40" s="83"/>
      <c r="C40" s="84"/>
      <c r="D40" s="83"/>
      <c r="H40" s="91"/>
      <c r="I40" s="91"/>
      <c r="J40" s="97"/>
      <c r="K40" s="89"/>
      <c r="L40" s="89"/>
      <c r="M40" s="79" t="str">
        <f>Table7281822432404856[[#This Row],[DBA]]&amp;" - "&amp;Table7281822432404856[[#This Row],[BIN]]&amp;" - "&amp;Table7281822432404856[[#This Row],[CAID]]</f>
        <v xml:space="preserve"> -  - </v>
      </c>
      <c r="N40" s="90"/>
    </row>
    <row r="41" spans="2:14" x14ac:dyDescent="0.25">
      <c r="H41" s="91"/>
      <c r="I41" s="91"/>
      <c r="J41" s="97"/>
      <c r="K41" s="79"/>
      <c r="L41" s="79"/>
      <c r="M41" s="79" t="str">
        <f>Table7281822432404856[[#This Row],[DBA]]&amp;" - "&amp;Table7281822432404856[[#This Row],[BIN]]&amp;" - "&amp;Table7281822432404856[[#This Row],[CAID]]</f>
        <v xml:space="preserve"> -  - </v>
      </c>
      <c r="N41" s="90"/>
    </row>
    <row r="42" spans="2:14" x14ac:dyDescent="0.25">
      <c r="H42" s="91"/>
      <c r="I42" s="91"/>
      <c r="J42" s="97"/>
      <c r="K42" s="79"/>
      <c r="L42" s="79"/>
      <c r="M42" s="79" t="str">
        <f>Table7281822432404856[[#This Row],[DBA]]&amp;" - "&amp;Table7281822432404856[[#This Row],[BIN]]&amp;" - "&amp;Table7281822432404856[[#This Row],[CAID]]</f>
        <v xml:space="preserve"> -  - </v>
      </c>
      <c r="N42" s="90"/>
    </row>
    <row r="43" spans="2:14" x14ac:dyDescent="0.25">
      <c r="H43" s="91"/>
      <c r="I43" s="91"/>
      <c r="J43" s="97"/>
      <c r="K43" s="79"/>
      <c r="L43" s="79"/>
      <c r="M43" s="79" t="str">
        <f>Table7281822432404856[[#This Row],[DBA]]&amp;" - "&amp;Table7281822432404856[[#This Row],[BIN]]&amp;" - "&amp;Table7281822432404856[[#This Row],[CAID]]</f>
        <v xml:space="preserve"> -  - </v>
      </c>
      <c r="N43" s="90"/>
    </row>
    <row r="44" spans="2:14" x14ac:dyDescent="0.25">
      <c r="H44" s="91"/>
      <c r="I44" s="91"/>
      <c r="J44" s="97"/>
      <c r="K44" s="79"/>
      <c r="L44" s="79"/>
      <c r="M44" s="79" t="str">
        <f>Table7281822432404856[[#This Row],[DBA]]&amp;" - "&amp;Table7281822432404856[[#This Row],[BIN]]&amp;" - "&amp;Table7281822432404856[[#This Row],[CAID]]</f>
        <v xml:space="preserve"> -  - </v>
      </c>
      <c r="N44" s="90"/>
    </row>
    <row r="45" spans="2:14" x14ac:dyDescent="0.25">
      <c r="H45" s="91"/>
      <c r="I45" s="91"/>
      <c r="J45" s="97"/>
      <c r="K45" s="79"/>
      <c r="L45" s="79"/>
      <c r="M45" s="79" t="str">
        <f>Table7281822432404856[[#This Row],[DBA]]&amp;" - "&amp;Table7281822432404856[[#This Row],[BIN]]&amp;" - "&amp;Table7281822432404856[[#This Row],[CAID]]</f>
        <v xml:space="preserve"> -  - </v>
      </c>
      <c r="N45" s="90"/>
    </row>
    <row r="46" spans="2:14" x14ac:dyDescent="0.25">
      <c r="H46" s="91"/>
      <c r="I46" s="91"/>
      <c r="J46" s="97"/>
      <c r="K46" s="79"/>
      <c r="L46" s="79"/>
      <c r="M46" s="79" t="str">
        <f>Table7281822432404856[[#This Row],[DBA]]&amp;" - "&amp;Table7281822432404856[[#This Row],[BIN]]&amp;" - "&amp;Table7281822432404856[[#This Row],[CAID]]</f>
        <v xml:space="preserve"> -  - </v>
      </c>
      <c r="N46" s="90"/>
    </row>
    <row r="47" spans="2:14" x14ac:dyDescent="0.25">
      <c r="H47" s="91"/>
      <c r="I47" s="91"/>
      <c r="J47" s="97"/>
      <c r="K47" s="79"/>
      <c r="L47" s="79"/>
      <c r="M47" s="79" t="str">
        <f>Table7281822432404856[[#This Row],[DBA]]&amp;" - "&amp;Table7281822432404856[[#This Row],[BIN]]&amp;" - "&amp;Table7281822432404856[[#This Row],[CAID]]</f>
        <v xml:space="preserve"> -  - </v>
      </c>
      <c r="N47" s="90"/>
    </row>
    <row r="48" spans="2:14" x14ac:dyDescent="0.25">
      <c r="H48" s="91"/>
      <c r="I48" s="91"/>
      <c r="J48" s="97"/>
      <c r="K48" s="79"/>
      <c r="L48" s="79"/>
      <c r="M48" s="79" t="str">
        <f>Table7281822432404856[[#This Row],[DBA]]&amp;" - "&amp;Table7281822432404856[[#This Row],[BIN]]&amp;" - "&amp;Table7281822432404856[[#This Row],[CAID]]</f>
        <v xml:space="preserve"> -  - </v>
      </c>
      <c r="N48" s="90"/>
    </row>
    <row r="49" spans="8:14" x14ac:dyDescent="0.25">
      <c r="H49" s="91"/>
      <c r="I49" s="91"/>
      <c r="J49" s="97"/>
      <c r="K49" s="79"/>
      <c r="L49" s="79"/>
      <c r="M49" s="79" t="str">
        <f>Table7281822432404856[[#This Row],[DBA]]&amp;" - "&amp;Table7281822432404856[[#This Row],[BIN]]&amp;" - "&amp;Table7281822432404856[[#This Row],[CAID]]</f>
        <v xml:space="preserve"> -  - </v>
      </c>
      <c r="N49" s="90"/>
    </row>
    <row r="50" spans="8:14" x14ac:dyDescent="0.25">
      <c r="H50" s="91"/>
      <c r="I50" s="91"/>
      <c r="J50" s="97"/>
      <c r="K50" s="79"/>
      <c r="L50" s="79"/>
      <c r="M50" s="79" t="str">
        <f>Table7281822432404856[[#This Row],[DBA]]&amp;" - "&amp;Table7281822432404856[[#This Row],[BIN]]&amp;" - "&amp;Table7281822432404856[[#This Row],[CAID]]</f>
        <v xml:space="preserve"> -  - </v>
      </c>
      <c r="N50" s="90"/>
    </row>
    <row r="51" spans="8:14" x14ac:dyDescent="0.25">
      <c r="H51" s="91"/>
      <c r="I51" s="91"/>
      <c r="J51" s="97"/>
      <c r="K51" s="79"/>
      <c r="L51" s="79"/>
      <c r="M51" s="79" t="str">
        <f>Table7281822432404856[[#This Row],[DBA]]&amp;" - "&amp;Table7281822432404856[[#This Row],[BIN]]&amp;" - "&amp;Table7281822432404856[[#This Row],[CAID]]</f>
        <v xml:space="preserve"> -  - </v>
      </c>
      <c r="N51" s="90"/>
    </row>
    <row r="52" spans="8:14" x14ac:dyDescent="0.25">
      <c r="H52" s="91"/>
      <c r="I52" s="91"/>
      <c r="J52" s="97"/>
      <c r="K52" s="79"/>
      <c r="L52" s="79"/>
      <c r="M52" s="79" t="str">
        <f>Table7281822432404856[[#This Row],[DBA]]&amp;" - "&amp;Table7281822432404856[[#This Row],[BIN]]&amp;" - "&amp;Table7281822432404856[[#This Row],[CAID]]</f>
        <v xml:space="preserve"> -  - </v>
      </c>
      <c r="N52" s="90"/>
    </row>
    <row r="53" spans="8:14" x14ac:dyDescent="0.25">
      <c r="H53" s="91"/>
      <c r="I53" s="91"/>
      <c r="J53" s="97"/>
      <c r="K53" s="79"/>
      <c r="L53" s="79"/>
      <c r="M53" s="79" t="str">
        <f>Table7281822432404856[[#This Row],[DBA]]&amp;" - "&amp;Table7281822432404856[[#This Row],[BIN]]&amp;" - "&amp;Table7281822432404856[[#This Row],[CAID]]</f>
        <v xml:space="preserve"> -  - </v>
      </c>
      <c r="N53" s="90"/>
    </row>
    <row r="54" spans="8:14" x14ac:dyDescent="0.25">
      <c r="H54" s="91"/>
      <c r="I54" s="91"/>
      <c r="J54" s="97"/>
      <c r="K54" s="79"/>
      <c r="L54" s="79"/>
      <c r="M54" s="79" t="str">
        <f>Table7281822432404856[[#This Row],[DBA]]&amp;" - "&amp;Table7281822432404856[[#This Row],[BIN]]&amp;" - "&amp;Table7281822432404856[[#This Row],[CAID]]</f>
        <v xml:space="preserve"> -  - </v>
      </c>
      <c r="N54" s="90"/>
    </row>
    <row r="55" spans="8:14" x14ac:dyDescent="0.25">
      <c r="H55" s="91"/>
      <c r="I55" s="91"/>
      <c r="J55" s="97"/>
      <c r="K55" s="79"/>
      <c r="L55" s="79"/>
      <c r="M55" s="79" t="str">
        <f>Table7281822432404856[[#This Row],[DBA]]&amp;" - "&amp;Table7281822432404856[[#This Row],[BIN]]&amp;" - "&amp;Table7281822432404856[[#This Row],[CAID]]</f>
        <v xml:space="preserve"> -  - </v>
      </c>
      <c r="N55" s="90"/>
    </row>
    <row r="56" spans="8:14" x14ac:dyDescent="0.25">
      <c r="H56" s="91"/>
      <c r="I56" s="91"/>
      <c r="J56" s="97"/>
      <c r="K56" s="79"/>
      <c r="L56" s="79"/>
      <c r="M56" s="79" t="str">
        <f>Table7281822432404856[[#This Row],[DBA]]&amp;" - "&amp;Table7281822432404856[[#This Row],[BIN]]&amp;" - "&amp;Table7281822432404856[[#This Row],[CAID]]</f>
        <v xml:space="preserve"> -  - </v>
      </c>
      <c r="N56" s="90"/>
    </row>
    <row r="57" spans="8:14" x14ac:dyDescent="0.25">
      <c r="H57" s="91"/>
      <c r="I57" s="91"/>
      <c r="J57" s="97"/>
      <c r="K57" s="79"/>
      <c r="L57" s="79"/>
      <c r="M57" s="79" t="str">
        <f>Table7281822432404856[[#This Row],[DBA]]&amp;" - "&amp;Table7281822432404856[[#This Row],[BIN]]&amp;" - "&amp;Table7281822432404856[[#This Row],[CAID]]</f>
        <v xml:space="preserve"> -  - </v>
      </c>
      <c r="N57" s="90"/>
    </row>
    <row r="58" spans="8:14" x14ac:dyDescent="0.25">
      <c r="H58" s="91"/>
      <c r="I58" s="91"/>
      <c r="J58" s="97"/>
      <c r="K58" s="79"/>
      <c r="L58" s="79"/>
      <c r="M58" s="79" t="str">
        <f>Table7281822432404856[[#This Row],[DBA]]&amp;" - "&amp;Table7281822432404856[[#This Row],[BIN]]&amp;" - "&amp;Table7281822432404856[[#This Row],[CAID]]</f>
        <v xml:space="preserve"> -  - </v>
      </c>
      <c r="N58" s="90"/>
    </row>
    <row r="59" spans="8:14" x14ac:dyDescent="0.25">
      <c r="H59" s="91"/>
      <c r="I59" s="91"/>
      <c r="J59" s="97"/>
      <c r="K59" s="79"/>
      <c r="L59" s="79"/>
      <c r="M59" s="79" t="str">
        <f>Table7281822432404856[[#This Row],[DBA]]&amp;" - "&amp;Table7281822432404856[[#This Row],[BIN]]&amp;" - "&amp;Table7281822432404856[[#This Row],[CAID]]</f>
        <v xml:space="preserve"> -  - </v>
      </c>
      <c r="N59" s="90"/>
    </row>
    <row r="60" spans="8:14" x14ac:dyDescent="0.25">
      <c r="H60" s="91"/>
      <c r="I60" s="91"/>
      <c r="J60" s="97"/>
      <c r="K60" s="79"/>
      <c r="L60" s="79"/>
      <c r="M60" s="79" t="str">
        <f>Table7281822432404856[[#This Row],[DBA]]&amp;" - "&amp;Table7281822432404856[[#This Row],[BIN]]&amp;" - "&amp;Table7281822432404856[[#This Row],[CAID]]</f>
        <v xml:space="preserve"> -  - </v>
      </c>
      <c r="N60" s="90"/>
    </row>
    <row r="61" spans="8:14" x14ac:dyDescent="0.25">
      <c r="H61" s="91"/>
      <c r="I61" s="91"/>
      <c r="J61" s="97"/>
      <c r="K61" s="79"/>
      <c r="L61" s="79"/>
      <c r="M61" s="79" t="str">
        <f>Table7281822432404856[[#This Row],[DBA]]&amp;" - "&amp;Table7281822432404856[[#This Row],[BIN]]&amp;" - "&amp;Table7281822432404856[[#This Row],[CAID]]</f>
        <v xml:space="preserve"> -  - </v>
      </c>
      <c r="N61" s="90"/>
    </row>
    <row r="62" spans="8:14" x14ac:dyDescent="0.25">
      <c r="H62" s="91"/>
      <c r="I62" s="91"/>
      <c r="J62" s="97"/>
      <c r="K62" s="79"/>
      <c r="L62" s="79"/>
      <c r="M62" s="79" t="str">
        <f>Table7281822432404856[[#This Row],[DBA]]&amp;" - "&amp;Table7281822432404856[[#This Row],[BIN]]&amp;" - "&amp;Table7281822432404856[[#This Row],[CAID]]</f>
        <v xml:space="preserve"> -  - </v>
      </c>
      <c r="N62" s="90"/>
    </row>
    <row r="63" spans="8:14" x14ac:dyDescent="0.25">
      <c r="H63" s="91"/>
      <c r="I63" s="91"/>
      <c r="J63" s="97"/>
      <c r="K63" s="79"/>
      <c r="L63" s="79"/>
      <c r="M63" s="79" t="str">
        <f>Table7281822432404856[[#This Row],[DBA]]&amp;" - "&amp;Table7281822432404856[[#This Row],[BIN]]&amp;" - "&amp;Table7281822432404856[[#This Row],[CAID]]</f>
        <v xml:space="preserve"> -  - </v>
      </c>
      <c r="N63" s="90"/>
    </row>
    <row r="64" spans="8:14" x14ac:dyDescent="0.25">
      <c r="H64" s="91"/>
      <c r="I64" s="91"/>
      <c r="J64" s="97"/>
      <c r="K64" s="79"/>
      <c r="L64" s="79"/>
      <c r="M64" s="79" t="str">
        <f>Table7281822432404856[[#This Row],[DBA]]&amp;" - "&amp;Table7281822432404856[[#This Row],[BIN]]&amp;" - "&amp;Table7281822432404856[[#This Row],[CAID]]</f>
        <v xml:space="preserve"> -  - </v>
      </c>
      <c r="N64" s="90"/>
    </row>
    <row r="65" spans="8:14" x14ac:dyDescent="0.25">
      <c r="H65" s="91"/>
      <c r="I65" s="91"/>
      <c r="J65" s="97"/>
      <c r="K65" s="79"/>
      <c r="L65" s="79"/>
      <c r="M65" s="79" t="str">
        <f>Table7281822432404856[[#This Row],[DBA]]&amp;" - "&amp;Table7281822432404856[[#This Row],[BIN]]&amp;" - "&amp;Table7281822432404856[[#This Row],[CAID]]</f>
        <v xml:space="preserve"> -  - </v>
      </c>
      <c r="N65" s="90"/>
    </row>
    <row r="66" spans="8:14" x14ac:dyDescent="0.25">
      <c r="H66" s="91"/>
      <c r="I66" s="91"/>
      <c r="J66" s="97"/>
      <c r="K66" s="79"/>
      <c r="L66" s="79"/>
      <c r="M66" s="79" t="str">
        <f>Table7281822432404856[[#This Row],[DBA]]&amp;" - "&amp;Table7281822432404856[[#This Row],[BIN]]&amp;" - "&amp;Table7281822432404856[[#This Row],[CAID]]</f>
        <v xml:space="preserve"> -  - </v>
      </c>
      <c r="N66" s="90"/>
    </row>
    <row r="67" spans="8:14" x14ac:dyDescent="0.25">
      <c r="H67" s="91"/>
      <c r="I67" s="91"/>
      <c r="J67" s="97"/>
      <c r="K67" s="79"/>
      <c r="L67" s="79"/>
      <c r="M67" s="79" t="str">
        <f>Table7281822432404856[[#This Row],[DBA]]&amp;" - "&amp;Table7281822432404856[[#This Row],[BIN]]&amp;" - "&amp;Table7281822432404856[[#This Row],[CAID]]</f>
        <v xml:space="preserve"> -  - </v>
      </c>
      <c r="N67" s="90"/>
    </row>
    <row r="68" spans="8:14" x14ac:dyDescent="0.25">
      <c r="H68" s="91"/>
      <c r="I68" s="91"/>
      <c r="J68" s="97"/>
      <c r="K68" s="79"/>
      <c r="L68" s="79"/>
      <c r="M68" s="79" t="str">
        <f>Table7281822432404856[[#This Row],[DBA]]&amp;" - "&amp;Table7281822432404856[[#This Row],[BIN]]&amp;" - "&amp;Table7281822432404856[[#This Row],[CAID]]</f>
        <v xml:space="preserve"> -  - </v>
      </c>
      <c r="N68" s="90"/>
    </row>
    <row r="69" spans="8:14" x14ac:dyDescent="0.25">
      <c r="H69" s="91"/>
      <c r="I69" s="91"/>
      <c r="J69" s="97"/>
      <c r="K69" s="79"/>
      <c r="L69" s="79"/>
      <c r="M69" s="79" t="str">
        <f>Table7281822432404856[[#This Row],[DBA]]&amp;" - "&amp;Table7281822432404856[[#This Row],[BIN]]&amp;" - "&amp;Table7281822432404856[[#This Row],[CAID]]</f>
        <v xml:space="preserve"> -  - </v>
      </c>
      <c r="N69" s="90"/>
    </row>
    <row r="70" spans="8:14" x14ac:dyDescent="0.25">
      <c r="H70" s="91"/>
      <c r="I70" s="91"/>
      <c r="J70" s="97"/>
      <c r="K70" s="79"/>
      <c r="L70" s="79"/>
      <c r="M70" s="79" t="str">
        <f>Table7281822432404856[[#This Row],[DBA]]&amp;" - "&amp;Table7281822432404856[[#This Row],[BIN]]&amp;" - "&amp;Table7281822432404856[[#This Row],[CAID]]</f>
        <v xml:space="preserve"> -  - </v>
      </c>
      <c r="N70" s="90"/>
    </row>
    <row r="71" spans="8:14" x14ac:dyDescent="0.25">
      <c r="H71" s="91"/>
      <c r="I71" s="91"/>
      <c r="J71" s="97"/>
      <c r="K71" s="79"/>
      <c r="L71" s="79"/>
      <c r="M71" s="79" t="str">
        <f>Table7281822432404856[[#This Row],[DBA]]&amp;" - "&amp;Table7281822432404856[[#This Row],[BIN]]&amp;" - "&amp;Table7281822432404856[[#This Row],[CAID]]</f>
        <v xml:space="preserve"> -  - </v>
      </c>
      <c r="N71" s="90"/>
    </row>
    <row r="72" spans="8:14" x14ac:dyDescent="0.25">
      <c r="H72" s="91"/>
      <c r="I72" s="91"/>
      <c r="J72" s="97"/>
      <c r="K72" s="79"/>
      <c r="L72" s="79"/>
      <c r="M72" s="79" t="str">
        <f>Table7281822432404856[[#This Row],[DBA]]&amp;" - "&amp;Table7281822432404856[[#This Row],[BIN]]&amp;" - "&amp;Table7281822432404856[[#This Row],[CAID]]</f>
        <v xml:space="preserve"> -  - </v>
      </c>
      <c r="N72" s="90"/>
    </row>
    <row r="73" spans="8:14" x14ac:dyDescent="0.25">
      <c r="H73" s="91"/>
      <c r="I73" s="91"/>
      <c r="J73" s="97"/>
      <c r="K73" s="79"/>
      <c r="L73" s="79"/>
      <c r="M73" s="79" t="str">
        <f>Table7281822432404856[[#This Row],[DBA]]&amp;" - "&amp;Table7281822432404856[[#This Row],[BIN]]&amp;" - "&amp;Table7281822432404856[[#This Row],[CAID]]</f>
        <v xml:space="preserve"> -  - </v>
      </c>
      <c r="N73" s="90"/>
    </row>
    <row r="74" spans="8:14" x14ac:dyDescent="0.25">
      <c r="H74" s="91"/>
      <c r="I74" s="91"/>
      <c r="J74" s="97"/>
      <c r="K74" s="79"/>
      <c r="L74" s="79"/>
      <c r="M74" s="79" t="str">
        <f>Table7281822432404856[[#This Row],[DBA]]&amp;" - "&amp;Table7281822432404856[[#This Row],[BIN]]&amp;" - "&amp;Table7281822432404856[[#This Row],[CAID]]</f>
        <v xml:space="preserve"> -  - </v>
      </c>
      <c r="N74" s="90"/>
    </row>
    <row r="75" spans="8:14" x14ac:dyDescent="0.25">
      <c r="H75" s="91"/>
      <c r="I75" s="91"/>
      <c r="J75" s="97"/>
      <c r="K75" s="79"/>
      <c r="L75" s="79"/>
      <c r="M75" s="79" t="str">
        <f>Table7281822432404856[[#This Row],[DBA]]&amp;" - "&amp;Table7281822432404856[[#This Row],[BIN]]&amp;" - "&amp;Table7281822432404856[[#This Row],[CAID]]</f>
        <v xml:space="preserve"> -  - </v>
      </c>
      <c r="N75" s="90"/>
    </row>
    <row r="76" spans="8:14" x14ac:dyDescent="0.25">
      <c r="H76" s="91"/>
      <c r="I76" s="91"/>
      <c r="J76" s="97"/>
      <c r="K76" s="79"/>
      <c r="L76" s="79"/>
      <c r="M76" s="79" t="str">
        <f>Table7281822432404856[[#This Row],[DBA]]&amp;" - "&amp;Table7281822432404856[[#This Row],[BIN]]&amp;" - "&amp;Table7281822432404856[[#This Row],[CAID]]</f>
        <v xml:space="preserve"> -  - </v>
      </c>
      <c r="N76" s="90"/>
    </row>
    <row r="77" spans="8:14" x14ac:dyDescent="0.25">
      <c r="H77" s="91"/>
      <c r="I77" s="91"/>
      <c r="J77" s="97"/>
      <c r="K77" s="79"/>
      <c r="L77" s="79"/>
      <c r="M77" s="79" t="str">
        <f>Table7281822432404856[[#This Row],[DBA]]&amp;" - "&amp;Table7281822432404856[[#This Row],[BIN]]&amp;" - "&amp;Table7281822432404856[[#This Row],[CAID]]</f>
        <v xml:space="preserve"> -  - </v>
      </c>
      <c r="N77" s="90"/>
    </row>
    <row r="78" spans="8:14" x14ac:dyDescent="0.25">
      <c r="H78" s="91"/>
      <c r="I78" s="91"/>
      <c r="J78" s="97"/>
      <c r="K78" s="79"/>
      <c r="L78" s="79"/>
      <c r="M78" s="79" t="str">
        <f>Table7281822432404856[[#This Row],[DBA]]&amp;" - "&amp;Table7281822432404856[[#This Row],[BIN]]&amp;" - "&amp;Table7281822432404856[[#This Row],[CAID]]</f>
        <v xml:space="preserve"> -  - </v>
      </c>
      <c r="N78" s="90"/>
    </row>
    <row r="79" spans="8:14" x14ac:dyDescent="0.25">
      <c r="H79" s="91"/>
      <c r="I79" s="91"/>
      <c r="J79" s="97"/>
      <c r="K79" s="79"/>
      <c r="L79" s="79"/>
      <c r="M79" s="79" t="str">
        <f>Table7281822432404856[[#This Row],[DBA]]&amp;" - "&amp;Table7281822432404856[[#This Row],[BIN]]&amp;" - "&amp;Table7281822432404856[[#This Row],[CAID]]</f>
        <v xml:space="preserve"> -  - </v>
      </c>
      <c r="N79" s="90"/>
    </row>
    <row r="80" spans="8:14" x14ac:dyDescent="0.25">
      <c r="H80" s="91"/>
      <c r="I80" s="91"/>
      <c r="J80" s="97"/>
      <c r="K80" s="79"/>
      <c r="L80" s="79"/>
      <c r="M80" s="79" t="str">
        <f>Table7281822432404856[[#This Row],[DBA]]&amp;" - "&amp;Table7281822432404856[[#This Row],[BIN]]&amp;" - "&amp;Table7281822432404856[[#This Row],[CAID]]</f>
        <v xml:space="preserve"> -  - </v>
      </c>
      <c r="N80" s="90"/>
    </row>
    <row r="81" spans="8:14" x14ac:dyDescent="0.25">
      <c r="H81" s="91"/>
      <c r="I81" s="91"/>
      <c r="J81" s="97"/>
      <c r="K81" s="79"/>
      <c r="L81" s="79"/>
      <c r="M81" s="79" t="str">
        <f>Table7281822432404856[[#This Row],[DBA]]&amp;" - "&amp;Table7281822432404856[[#This Row],[BIN]]&amp;" - "&amp;Table7281822432404856[[#This Row],[CAID]]</f>
        <v xml:space="preserve"> -  - </v>
      </c>
      <c r="N81" s="90"/>
    </row>
    <row r="82" spans="8:14" x14ac:dyDescent="0.25">
      <c r="H82" s="91"/>
      <c r="I82" s="91"/>
      <c r="J82" s="97"/>
      <c r="K82" s="79"/>
      <c r="L82" s="79"/>
      <c r="M82" s="79" t="str">
        <f>Table7281822432404856[[#This Row],[DBA]]&amp;" - "&amp;Table7281822432404856[[#This Row],[BIN]]&amp;" - "&amp;Table7281822432404856[[#This Row],[CAID]]</f>
        <v xml:space="preserve"> -  - </v>
      </c>
      <c r="N82" s="90"/>
    </row>
    <row r="83" spans="8:14" x14ac:dyDescent="0.25">
      <c r="H83" s="91"/>
      <c r="I83" s="91"/>
      <c r="J83" s="97"/>
      <c r="K83" s="79"/>
      <c r="L83" s="79"/>
      <c r="M83" s="79" t="str">
        <f>Table7281822432404856[[#This Row],[DBA]]&amp;" - "&amp;Table7281822432404856[[#This Row],[BIN]]&amp;" - "&amp;Table7281822432404856[[#This Row],[CAID]]</f>
        <v xml:space="preserve"> -  - </v>
      </c>
      <c r="N83" s="90"/>
    </row>
    <row r="84" spans="8:14" x14ac:dyDescent="0.25">
      <c r="H84" s="91"/>
      <c r="I84" s="91"/>
      <c r="J84" s="97"/>
      <c r="K84" s="79"/>
      <c r="L84" s="79"/>
      <c r="M84" s="79" t="str">
        <f>Table7281822432404856[[#This Row],[DBA]]&amp;" - "&amp;Table7281822432404856[[#This Row],[BIN]]&amp;" - "&amp;Table7281822432404856[[#This Row],[CAID]]</f>
        <v xml:space="preserve"> -  - </v>
      </c>
      <c r="N84" s="90"/>
    </row>
    <row r="85" spans="8:14" x14ac:dyDescent="0.25">
      <c r="H85" s="91"/>
      <c r="I85" s="91"/>
      <c r="J85" s="97"/>
      <c r="K85" s="79"/>
      <c r="L85" s="79"/>
      <c r="M85" s="79" t="str">
        <f>Table7281822432404856[[#This Row],[DBA]]&amp;" - "&amp;Table7281822432404856[[#This Row],[BIN]]&amp;" - "&amp;Table7281822432404856[[#This Row],[CAID]]</f>
        <v xml:space="preserve"> -  - </v>
      </c>
      <c r="N85" s="90"/>
    </row>
    <row r="86" spans="8:14" x14ac:dyDescent="0.25">
      <c r="H86" s="91"/>
      <c r="I86" s="91"/>
      <c r="J86" s="97"/>
      <c r="K86" s="79"/>
      <c r="L86" s="79"/>
      <c r="M86" s="79" t="str">
        <f>Table7281822432404856[[#This Row],[DBA]]&amp;" - "&amp;Table7281822432404856[[#This Row],[BIN]]&amp;" - "&amp;Table7281822432404856[[#This Row],[CAID]]</f>
        <v xml:space="preserve"> -  - </v>
      </c>
      <c r="N86" s="90"/>
    </row>
    <row r="87" spans="8:14" x14ac:dyDescent="0.25">
      <c r="H87" s="91"/>
      <c r="I87" s="91"/>
      <c r="J87" s="97"/>
      <c r="K87" s="79"/>
      <c r="L87" s="79"/>
      <c r="M87" s="79" t="str">
        <f>Table7281822432404856[[#This Row],[DBA]]&amp;" - "&amp;Table7281822432404856[[#This Row],[BIN]]&amp;" - "&amp;Table7281822432404856[[#This Row],[CAID]]</f>
        <v xml:space="preserve"> -  - </v>
      </c>
      <c r="N87" s="90"/>
    </row>
    <row r="88" spans="8:14" x14ac:dyDescent="0.25">
      <c r="H88" s="91"/>
      <c r="I88" s="91"/>
      <c r="J88" s="97"/>
      <c r="K88" s="79"/>
      <c r="L88" s="79"/>
      <c r="M88" s="79" t="str">
        <f>Table7281822432404856[[#This Row],[DBA]]&amp;" - "&amp;Table7281822432404856[[#This Row],[BIN]]&amp;" - "&amp;Table7281822432404856[[#This Row],[CAID]]</f>
        <v xml:space="preserve"> -  - </v>
      </c>
      <c r="N88" s="90"/>
    </row>
    <row r="89" spans="8:14" x14ac:dyDescent="0.25">
      <c r="H89" s="91"/>
      <c r="I89" s="91"/>
      <c r="J89" s="97"/>
      <c r="K89" s="79"/>
      <c r="L89" s="79"/>
      <c r="M89" s="79" t="str">
        <f>Table7281822432404856[[#This Row],[DBA]]&amp;" - "&amp;Table7281822432404856[[#This Row],[BIN]]&amp;" - "&amp;Table7281822432404856[[#This Row],[CAID]]</f>
        <v xml:space="preserve"> -  - </v>
      </c>
      <c r="N89" s="90"/>
    </row>
    <row r="90" spans="8:14" x14ac:dyDescent="0.25">
      <c r="H90" s="91"/>
      <c r="I90" s="91"/>
      <c r="J90" s="97"/>
      <c r="K90" s="79"/>
      <c r="L90" s="79"/>
      <c r="M90" s="79" t="str">
        <f>Table7281822432404856[[#This Row],[DBA]]&amp;" - "&amp;Table7281822432404856[[#This Row],[BIN]]&amp;" - "&amp;Table7281822432404856[[#This Row],[CAID]]</f>
        <v xml:space="preserve"> -  - </v>
      </c>
      <c r="N90" s="90"/>
    </row>
    <row r="91" spans="8:14" x14ac:dyDescent="0.25">
      <c r="H91" s="91"/>
      <c r="I91" s="91"/>
      <c r="J91" s="97"/>
      <c r="K91" s="79"/>
      <c r="L91" s="79"/>
      <c r="M91" s="79" t="str">
        <f>Table7281822432404856[[#This Row],[DBA]]&amp;" - "&amp;Table7281822432404856[[#This Row],[BIN]]&amp;" - "&amp;Table7281822432404856[[#This Row],[CAID]]</f>
        <v xml:space="preserve"> -  - </v>
      </c>
      <c r="N91" s="90"/>
    </row>
    <row r="92" spans="8:14" x14ac:dyDescent="0.25">
      <c r="H92" s="91"/>
      <c r="I92" s="91"/>
      <c r="J92" s="97"/>
      <c r="K92" s="79"/>
      <c r="L92" s="79"/>
      <c r="M92" s="79" t="str">
        <f>Table7281822432404856[[#This Row],[DBA]]&amp;" - "&amp;Table7281822432404856[[#This Row],[BIN]]&amp;" - "&amp;Table7281822432404856[[#This Row],[CAID]]</f>
        <v xml:space="preserve"> -  - </v>
      </c>
      <c r="N92" s="90"/>
    </row>
    <row r="93" spans="8:14" x14ac:dyDescent="0.25">
      <c r="H93" s="91"/>
      <c r="I93" s="91"/>
      <c r="J93" s="97"/>
      <c r="K93" s="79"/>
      <c r="L93" s="79"/>
      <c r="M93" s="79" t="str">
        <f>Table7281822432404856[[#This Row],[DBA]]&amp;" - "&amp;Table7281822432404856[[#This Row],[BIN]]&amp;" - "&amp;Table7281822432404856[[#This Row],[CAID]]</f>
        <v xml:space="preserve"> -  - </v>
      </c>
      <c r="N93" s="90"/>
    </row>
    <row r="94" spans="8:14" x14ac:dyDescent="0.25">
      <c r="H94" s="91"/>
      <c r="I94" s="91"/>
      <c r="J94" s="97"/>
      <c r="K94" s="79"/>
      <c r="L94" s="79"/>
      <c r="M94" s="79" t="str">
        <f>Table7281822432404856[[#This Row],[DBA]]&amp;" - "&amp;Table7281822432404856[[#This Row],[BIN]]&amp;" - "&amp;Table7281822432404856[[#This Row],[CAID]]</f>
        <v xml:space="preserve"> -  - </v>
      </c>
      <c r="N94" s="90"/>
    </row>
    <row r="95" spans="8:14" x14ac:dyDescent="0.25">
      <c r="H95" s="91"/>
      <c r="I95" s="91"/>
      <c r="J95" s="97"/>
      <c r="K95" s="79"/>
      <c r="L95" s="79"/>
      <c r="M95" s="79" t="str">
        <f>Table7281822432404856[[#This Row],[DBA]]&amp;" - "&amp;Table7281822432404856[[#This Row],[BIN]]&amp;" - "&amp;Table7281822432404856[[#This Row],[CAID]]</f>
        <v xml:space="preserve"> -  - </v>
      </c>
      <c r="N95" s="90"/>
    </row>
    <row r="96" spans="8:14" x14ac:dyDescent="0.25">
      <c r="H96" s="91"/>
      <c r="I96" s="91"/>
      <c r="J96" s="97"/>
      <c r="K96" s="79"/>
      <c r="L96" s="79"/>
      <c r="M96" s="79" t="str">
        <f>Table7281822432404856[[#This Row],[DBA]]&amp;" - "&amp;Table7281822432404856[[#This Row],[BIN]]&amp;" - "&amp;Table7281822432404856[[#This Row],[CAID]]</f>
        <v xml:space="preserve"> -  - </v>
      </c>
      <c r="N96" s="90"/>
    </row>
    <row r="97" spans="8:14" x14ac:dyDescent="0.25">
      <c r="H97" s="91"/>
      <c r="I97" s="91"/>
      <c r="J97" s="97"/>
      <c r="K97" s="79"/>
      <c r="L97" s="79"/>
      <c r="M97" s="79" t="str">
        <f>Table7281822432404856[[#This Row],[DBA]]&amp;" - "&amp;Table7281822432404856[[#This Row],[BIN]]&amp;" - "&amp;Table7281822432404856[[#This Row],[CAID]]</f>
        <v xml:space="preserve"> -  - </v>
      </c>
      <c r="N97" s="90"/>
    </row>
    <row r="98" spans="8:14" x14ac:dyDescent="0.25">
      <c r="H98" s="91"/>
      <c r="I98" s="91"/>
      <c r="J98" s="97"/>
      <c r="K98" s="79"/>
      <c r="L98" s="79"/>
      <c r="M98" s="79" t="str">
        <f>Table7281822432404856[[#This Row],[DBA]]&amp;" - "&amp;Table7281822432404856[[#This Row],[BIN]]&amp;" - "&amp;Table7281822432404856[[#This Row],[CAID]]</f>
        <v xml:space="preserve"> -  - </v>
      </c>
      <c r="N98" s="90"/>
    </row>
    <row r="99" spans="8:14" x14ac:dyDescent="0.25">
      <c r="H99" s="91"/>
      <c r="I99" s="91"/>
      <c r="J99" s="97"/>
      <c r="K99" s="79"/>
      <c r="L99" s="79"/>
      <c r="M99" s="79" t="str">
        <f>Table7281822432404856[[#This Row],[DBA]]&amp;" - "&amp;Table7281822432404856[[#This Row],[BIN]]&amp;" - "&amp;Table7281822432404856[[#This Row],[CAID]]</f>
        <v xml:space="preserve"> -  - </v>
      </c>
      <c r="N99" s="90"/>
    </row>
    <row r="100" spans="8:14" x14ac:dyDescent="0.25">
      <c r="H100" s="91"/>
      <c r="I100" s="91"/>
      <c r="J100" s="97"/>
      <c r="K100" s="79"/>
      <c r="L100" s="79"/>
      <c r="M100" s="79" t="str">
        <f>Table7281822432404856[[#This Row],[DBA]]&amp;" - "&amp;Table7281822432404856[[#This Row],[BIN]]&amp;" - "&amp;Table7281822432404856[[#This Row],[CAID]]</f>
        <v xml:space="preserve"> -  - </v>
      </c>
      <c r="N100" s="90"/>
    </row>
    <row r="101" spans="8:14" x14ac:dyDescent="0.25">
      <c r="H101" s="91"/>
      <c r="I101" s="91"/>
      <c r="J101" s="97"/>
      <c r="K101" s="79"/>
      <c r="L101" s="79"/>
      <c r="M101" s="79" t="str">
        <f>Table7281822432404856[[#This Row],[DBA]]&amp;" - "&amp;Table7281822432404856[[#This Row],[BIN]]&amp;" - "&amp;Table7281822432404856[[#This Row],[CAID]]</f>
        <v xml:space="preserve"> -  - </v>
      </c>
      <c r="N101" s="90"/>
    </row>
    <row r="102" spans="8:14" x14ac:dyDescent="0.25">
      <c r="H102" s="91"/>
      <c r="I102" s="91"/>
      <c r="J102" s="97"/>
      <c r="K102" s="79"/>
      <c r="L102" s="79"/>
      <c r="M102" s="79" t="str">
        <f>Table7281822432404856[[#This Row],[DBA]]&amp;" - "&amp;Table7281822432404856[[#This Row],[BIN]]&amp;" - "&amp;Table7281822432404856[[#This Row],[CAID]]</f>
        <v xml:space="preserve"> -  - </v>
      </c>
      <c r="N102" s="90"/>
    </row>
    <row r="103" spans="8:14" x14ac:dyDescent="0.25">
      <c r="H103" s="91"/>
      <c r="I103" s="91"/>
      <c r="J103" s="97"/>
      <c r="K103" s="79"/>
      <c r="L103" s="79"/>
      <c r="M103" s="79" t="str">
        <f>Table7281822432404856[[#This Row],[DBA]]&amp;" - "&amp;Table7281822432404856[[#This Row],[BIN]]&amp;" - "&amp;Table7281822432404856[[#This Row],[CAID]]</f>
        <v xml:space="preserve"> -  - </v>
      </c>
      <c r="N103" s="90"/>
    </row>
    <row r="104" spans="8:14" x14ac:dyDescent="0.25">
      <c r="H104" s="91"/>
      <c r="I104" s="91"/>
      <c r="J104" s="97"/>
      <c r="K104" s="79"/>
      <c r="L104" s="79"/>
      <c r="M104" s="79" t="str">
        <f>Table7281822432404856[[#This Row],[DBA]]&amp;" - "&amp;Table7281822432404856[[#This Row],[BIN]]&amp;" - "&amp;Table7281822432404856[[#This Row],[CAID]]</f>
        <v xml:space="preserve"> -  - </v>
      </c>
      <c r="N104" s="90"/>
    </row>
    <row r="105" spans="8:14" x14ac:dyDescent="0.25">
      <c r="H105" s="91"/>
      <c r="I105" s="91"/>
      <c r="J105" s="97"/>
      <c r="K105" s="79"/>
      <c r="L105" s="79"/>
      <c r="M105" s="79" t="str">
        <f>Table7281822432404856[[#This Row],[DBA]]&amp;" - "&amp;Table7281822432404856[[#This Row],[BIN]]&amp;" - "&amp;Table7281822432404856[[#This Row],[CAID]]</f>
        <v xml:space="preserve"> -  - </v>
      </c>
      <c r="N105" s="90"/>
    </row>
    <row r="106" spans="8:14" x14ac:dyDescent="0.25">
      <c r="H106" s="91"/>
      <c r="I106" s="91"/>
      <c r="J106" s="97"/>
      <c r="K106" s="79"/>
      <c r="L106" s="79"/>
      <c r="M106" s="79" t="str">
        <f>Table7281822432404856[[#This Row],[DBA]]&amp;" - "&amp;Table7281822432404856[[#This Row],[BIN]]&amp;" - "&amp;Table7281822432404856[[#This Row],[CAID]]</f>
        <v xml:space="preserve"> -  - </v>
      </c>
      <c r="N106" s="90"/>
    </row>
    <row r="107" spans="8:14" x14ac:dyDescent="0.25">
      <c r="H107" s="91"/>
      <c r="I107" s="91"/>
      <c r="J107" s="97"/>
      <c r="K107" s="79"/>
      <c r="L107" s="79"/>
      <c r="M107" s="79" t="str">
        <f>Table7281822432404856[[#This Row],[DBA]]&amp;" - "&amp;Table7281822432404856[[#This Row],[BIN]]&amp;" - "&amp;Table7281822432404856[[#This Row],[CAID]]</f>
        <v xml:space="preserve"> -  - </v>
      </c>
      <c r="N107" s="90"/>
    </row>
    <row r="108" spans="8:14" x14ac:dyDescent="0.25">
      <c r="H108" s="91"/>
      <c r="I108" s="91"/>
      <c r="J108" s="97"/>
      <c r="K108" s="79"/>
      <c r="L108" s="79"/>
      <c r="M108" s="79" t="str">
        <f>Table7281822432404856[[#This Row],[DBA]]&amp;" - "&amp;Table7281822432404856[[#This Row],[BIN]]&amp;" - "&amp;Table7281822432404856[[#This Row],[CAID]]</f>
        <v xml:space="preserve"> -  - </v>
      </c>
      <c r="N108" s="90"/>
    </row>
    <row r="109" spans="8:14" x14ac:dyDescent="0.25">
      <c r="H109" s="91"/>
      <c r="I109" s="91"/>
      <c r="J109" s="97"/>
      <c r="K109" s="79"/>
      <c r="L109" s="79"/>
      <c r="M109" s="79" t="str">
        <f>Table7281822432404856[[#This Row],[DBA]]&amp;" - "&amp;Table7281822432404856[[#This Row],[BIN]]&amp;" - "&amp;Table7281822432404856[[#This Row],[CAID]]</f>
        <v xml:space="preserve"> -  - </v>
      </c>
      <c r="N109" s="90"/>
    </row>
    <row r="110" spans="8:14" x14ac:dyDescent="0.25">
      <c r="H110" s="91"/>
      <c r="I110" s="91"/>
      <c r="J110" s="97"/>
      <c r="K110" s="79"/>
      <c r="L110" s="79"/>
      <c r="M110" s="79" t="str">
        <f>Table7281822432404856[[#This Row],[DBA]]&amp;" - "&amp;Table7281822432404856[[#This Row],[BIN]]&amp;" - "&amp;Table7281822432404856[[#This Row],[CAID]]</f>
        <v xml:space="preserve"> -  - </v>
      </c>
      <c r="N110" s="90"/>
    </row>
    <row r="111" spans="8:14" x14ac:dyDescent="0.25">
      <c r="H111" s="91"/>
      <c r="I111" s="91"/>
      <c r="J111" s="97"/>
      <c r="K111" s="79"/>
      <c r="L111" s="79"/>
      <c r="M111" s="79" t="str">
        <f>Table7281822432404856[[#This Row],[DBA]]&amp;" - "&amp;Table7281822432404856[[#This Row],[BIN]]&amp;" - "&amp;Table7281822432404856[[#This Row],[CAID]]</f>
        <v xml:space="preserve"> -  - </v>
      </c>
      <c r="N111" s="90"/>
    </row>
    <row r="112" spans="8:14" x14ac:dyDescent="0.25">
      <c r="H112" s="91"/>
      <c r="I112" s="91"/>
      <c r="J112" s="97"/>
      <c r="K112" s="79"/>
      <c r="L112" s="79"/>
      <c r="M112" s="79" t="str">
        <f>Table7281822432404856[[#This Row],[DBA]]&amp;" - "&amp;Table7281822432404856[[#This Row],[BIN]]&amp;" - "&amp;Table7281822432404856[[#This Row],[CAID]]</f>
        <v xml:space="preserve"> -  - </v>
      </c>
      <c r="N112" s="90"/>
    </row>
    <row r="113" spans="8:14" x14ac:dyDescent="0.25">
      <c r="H113" s="91"/>
      <c r="I113" s="91"/>
      <c r="J113" s="97"/>
      <c r="K113" s="79"/>
      <c r="L113" s="79"/>
      <c r="M113" s="79" t="str">
        <f>Table7281822432404856[[#This Row],[DBA]]&amp;" - "&amp;Table7281822432404856[[#This Row],[BIN]]&amp;" - "&amp;Table7281822432404856[[#This Row],[CAID]]</f>
        <v xml:space="preserve"> -  - </v>
      </c>
      <c r="N113" s="90"/>
    </row>
    <row r="114" spans="8:14" x14ac:dyDescent="0.25">
      <c r="H114" s="91"/>
      <c r="I114" s="91"/>
      <c r="J114" s="97"/>
      <c r="K114" s="79"/>
      <c r="L114" s="79"/>
      <c r="M114" s="79" t="str">
        <f>Table7281822432404856[[#This Row],[DBA]]&amp;" - "&amp;Table7281822432404856[[#This Row],[BIN]]&amp;" - "&amp;Table7281822432404856[[#This Row],[CAID]]</f>
        <v xml:space="preserve"> -  - </v>
      </c>
      <c r="N114" s="90"/>
    </row>
    <row r="115" spans="8:14" x14ac:dyDescent="0.25">
      <c r="H115" s="91"/>
      <c r="I115" s="91"/>
      <c r="J115" s="97"/>
      <c r="K115" s="79"/>
      <c r="L115" s="79"/>
      <c r="M115" s="79" t="str">
        <f>Table7281822432404856[[#This Row],[DBA]]&amp;" - "&amp;Table7281822432404856[[#This Row],[BIN]]&amp;" - "&amp;Table7281822432404856[[#This Row],[CAID]]</f>
        <v xml:space="preserve"> -  - </v>
      </c>
      <c r="N115" s="90"/>
    </row>
    <row r="116" spans="8:14" x14ac:dyDescent="0.25">
      <c r="H116" s="91"/>
      <c r="I116" s="91"/>
      <c r="J116" s="97"/>
      <c r="K116" s="79"/>
      <c r="L116" s="79"/>
      <c r="M116" s="79" t="str">
        <f>Table7281822432404856[[#This Row],[DBA]]&amp;" - "&amp;Table7281822432404856[[#This Row],[BIN]]&amp;" - "&amp;Table7281822432404856[[#This Row],[CAID]]</f>
        <v xml:space="preserve"> -  - </v>
      </c>
      <c r="N116" s="90"/>
    </row>
    <row r="117" spans="8:14" x14ac:dyDescent="0.25">
      <c r="H117" s="91"/>
      <c r="I117" s="91"/>
      <c r="J117" s="97"/>
      <c r="K117" s="79"/>
      <c r="L117" s="79"/>
      <c r="M117" s="79" t="str">
        <f>Table7281822432404856[[#This Row],[DBA]]&amp;" - "&amp;Table7281822432404856[[#This Row],[BIN]]&amp;" - "&amp;Table7281822432404856[[#This Row],[CAID]]</f>
        <v xml:space="preserve"> -  - </v>
      </c>
      <c r="N117" s="90"/>
    </row>
    <row r="118" spans="8:14" x14ac:dyDescent="0.25">
      <c r="H118" s="91"/>
      <c r="I118" s="91"/>
      <c r="J118" s="97"/>
      <c r="K118" s="79"/>
      <c r="L118" s="79"/>
      <c r="M118" s="79" t="str">
        <f>Table7281822432404856[[#This Row],[DBA]]&amp;" - "&amp;Table7281822432404856[[#This Row],[BIN]]&amp;" - "&amp;Table7281822432404856[[#This Row],[CAID]]</f>
        <v xml:space="preserve"> -  - </v>
      </c>
      <c r="N118" s="90"/>
    </row>
    <row r="119" spans="8:14" x14ac:dyDescent="0.25">
      <c r="H119" s="91"/>
      <c r="I119" s="91"/>
      <c r="J119" s="97"/>
      <c r="K119" s="79"/>
      <c r="L119" s="79"/>
      <c r="M119" s="79" t="str">
        <f>Table7281822432404856[[#This Row],[DBA]]&amp;" - "&amp;Table7281822432404856[[#This Row],[BIN]]&amp;" - "&amp;Table7281822432404856[[#This Row],[CAID]]</f>
        <v xml:space="preserve"> -  - </v>
      </c>
      <c r="N119" s="90"/>
    </row>
    <row r="120" spans="8:14" x14ac:dyDescent="0.25">
      <c r="H120" s="91"/>
      <c r="I120" s="91"/>
      <c r="J120" s="97"/>
      <c r="K120" s="79"/>
      <c r="L120" s="79"/>
      <c r="M120" s="79" t="str">
        <f>Table7281822432404856[[#This Row],[DBA]]&amp;" - "&amp;Table7281822432404856[[#This Row],[BIN]]&amp;" - "&amp;Table7281822432404856[[#This Row],[CAID]]</f>
        <v xml:space="preserve"> -  - </v>
      </c>
      <c r="N120" s="90"/>
    </row>
    <row r="121" spans="8:14" x14ac:dyDescent="0.25">
      <c r="H121" s="91"/>
      <c r="I121" s="91"/>
      <c r="J121" s="97"/>
      <c r="K121" s="79"/>
      <c r="L121" s="79"/>
      <c r="M121" s="79" t="str">
        <f>Table7281822432404856[[#This Row],[DBA]]&amp;" - "&amp;Table7281822432404856[[#This Row],[BIN]]&amp;" - "&amp;Table7281822432404856[[#This Row],[CAID]]</f>
        <v xml:space="preserve"> -  - </v>
      </c>
      <c r="N121" s="90"/>
    </row>
    <row r="122" spans="8:14" x14ac:dyDescent="0.25">
      <c r="H122" s="91"/>
      <c r="I122" s="91"/>
      <c r="J122" s="97"/>
      <c r="K122" s="79"/>
      <c r="L122" s="79"/>
      <c r="M122" s="79" t="str">
        <f>Table7281822432404856[[#This Row],[DBA]]&amp;" - "&amp;Table7281822432404856[[#This Row],[BIN]]&amp;" - "&amp;Table7281822432404856[[#This Row],[CAID]]</f>
        <v xml:space="preserve"> -  - </v>
      </c>
      <c r="N122" s="90"/>
    </row>
    <row r="123" spans="8:14" x14ac:dyDescent="0.25">
      <c r="H123" s="91"/>
      <c r="I123" s="91"/>
      <c r="J123" s="97"/>
      <c r="K123" s="79"/>
      <c r="L123" s="79"/>
      <c r="M123" s="79" t="str">
        <f>Table7281822432404856[[#This Row],[DBA]]&amp;" - "&amp;Table7281822432404856[[#This Row],[BIN]]&amp;" - "&amp;Table7281822432404856[[#This Row],[CAID]]</f>
        <v xml:space="preserve"> -  - </v>
      </c>
      <c r="N123" s="90"/>
    </row>
    <row r="124" spans="8:14" x14ac:dyDescent="0.25">
      <c r="H124" s="91"/>
      <c r="I124" s="91"/>
      <c r="J124" s="97"/>
      <c r="K124" s="79"/>
      <c r="L124" s="79"/>
      <c r="M124" s="79" t="str">
        <f>Table7281822432404856[[#This Row],[DBA]]&amp;" - "&amp;Table7281822432404856[[#This Row],[BIN]]&amp;" - "&amp;Table7281822432404856[[#This Row],[CAID]]</f>
        <v xml:space="preserve"> -  - </v>
      </c>
      <c r="N124" s="90"/>
    </row>
    <row r="125" spans="8:14" x14ac:dyDescent="0.25">
      <c r="H125" s="91"/>
      <c r="I125" s="91"/>
      <c r="J125" s="97"/>
      <c r="K125" s="79"/>
      <c r="L125" s="79"/>
      <c r="M125" s="79" t="str">
        <f>Table7281822432404856[[#This Row],[DBA]]&amp;" - "&amp;Table7281822432404856[[#This Row],[BIN]]&amp;" - "&amp;Table7281822432404856[[#This Row],[CAID]]</f>
        <v xml:space="preserve"> -  - </v>
      </c>
      <c r="N125" s="90"/>
    </row>
    <row r="126" spans="8:14" x14ac:dyDescent="0.25">
      <c r="H126" s="91"/>
      <c r="I126" s="91"/>
      <c r="J126" s="97"/>
      <c r="K126" s="79"/>
      <c r="L126" s="79"/>
      <c r="M126" s="79" t="str">
        <f>Table7281822432404856[[#This Row],[DBA]]&amp;" - "&amp;Table7281822432404856[[#This Row],[BIN]]&amp;" - "&amp;Table7281822432404856[[#This Row],[CAID]]</f>
        <v xml:space="preserve"> -  - </v>
      </c>
      <c r="N126" s="90"/>
    </row>
    <row r="127" spans="8:14" x14ac:dyDescent="0.25">
      <c r="H127" s="91"/>
      <c r="I127" s="91"/>
      <c r="J127" s="97"/>
      <c r="K127" s="79"/>
      <c r="L127" s="79"/>
      <c r="M127" s="79" t="str">
        <f>Table7281822432404856[[#This Row],[DBA]]&amp;" - "&amp;Table7281822432404856[[#This Row],[BIN]]&amp;" - "&amp;Table7281822432404856[[#This Row],[CAID]]</f>
        <v xml:space="preserve"> -  - </v>
      </c>
      <c r="N127" s="90"/>
    </row>
    <row r="128" spans="8:14" x14ac:dyDescent="0.25">
      <c r="H128" s="91"/>
      <c r="I128" s="91"/>
      <c r="J128" s="97"/>
      <c r="K128" s="79"/>
      <c r="L128" s="79"/>
      <c r="M128" s="79" t="str">
        <f>Table7281822432404856[[#This Row],[DBA]]&amp;" - "&amp;Table7281822432404856[[#This Row],[BIN]]&amp;" - "&amp;Table7281822432404856[[#This Row],[CAID]]</f>
        <v xml:space="preserve"> -  - </v>
      </c>
      <c r="N128" s="90"/>
    </row>
    <row r="129" spans="8:14" x14ac:dyDescent="0.25">
      <c r="H129" s="91"/>
      <c r="I129" s="91"/>
      <c r="J129" s="97"/>
      <c r="K129" s="79"/>
      <c r="L129" s="79"/>
      <c r="M129" s="79" t="str">
        <f>Table7281822432404856[[#This Row],[DBA]]&amp;" - "&amp;Table7281822432404856[[#This Row],[BIN]]&amp;" - "&amp;Table7281822432404856[[#This Row],[CAID]]</f>
        <v xml:space="preserve"> -  - </v>
      </c>
      <c r="N129" s="90"/>
    </row>
    <row r="130" spans="8:14" x14ac:dyDescent="0.25">
      <c r="H130" s="91"/>
      <c r="I130" s="91"/>
      <c r="J130" s="97"/>
      <c r="K130" s="79"/>
      <c r="L130" s="79"/>
      <c r="M130" s="79" t="str">
        <f>Table7281822432404856[[#This Row],[DBA]]&amp;" - "&amp;Table7281822432404856[[#This Row],[BIN]]&amp;" - "&amp;Table7281822432404856[[#This Row],[CAID]]</f>
        <v xml:space="preserve"> -  - </v>
      </c>
      <c r="N130" s="90"/>
    </row>
    <row r="131" spans="8:14" x14ac:dyDescent="0.25">
      <c r="H131" s="91"/>
      <c r="I131" s="91"/>
      <c r="J131" s="97"/>
      <c r="K131" s="79"/>
      <c r="L131" s="79"/>
      <c r="M131" s="79" t="str">
        <f>Table7281822432404856[[#This Row],[DBA]]&amp;" - "&amp;Table7281822432404856[[#This Row],[BIN]]&amp;" - "&amp;Table7281822432404856[[#This Row],[CAID]]</f>
        <v xml:space="preserve"> -  - </v>
      </c>
      <c r="N131" s="90"/>
    </row>
    <row r="132" spans="8:14" x14ac:dyDescent="0.25">
      <c r="H132" s="91"/>
      <c r="I132" s="91"/>
      <c r="J132" s="97"/>
      <c r="K132" s="79"/>
      <c r="L132" s="79"/>
      <c r="M132" s="79" t="str">
        <f>Table7281822432404856[[#This Row],[DBA]]&amp;" - "&amp;Table7281822432404856[[#This Row],[BIN]]&amp;" - "&amp;Table7281822432404856[[#This Row],[CAID]]</f>
        <v xml:space="preserve"> -  - </v>
      </c>
      <c r="N132" s="90"/>
    </row>
    <row r="133" spans="8:14" x14ac:dyDescent="0.25">
      <c r="H133" s="91"/>
      <c r="I133" s="91"/>
      <c r="J133" s="97"/>
      <c r="K133" s="79"/>
      <c r="L133" s="79"/>
      <c r="M133" s="79" t="str">
        <f>Table7281822432404856[[#This Row],[DBA]]&amp;" - "&amp;Table7281822432404856[[#This Row],[BIN]]&amp;" - "&amp;Table7281822432404856[[#This Row],[CAID]]</f>
        <v xml:space="preserve"> -  - </v>
      </c>
      <c r="N133" s="90"/>
    </row>
    <row r="134" spans="8:14" x14ac:dyDescent="0.25">
      <c r="H134" s="91"/>
      <c r="I134" s="91"/>
      <c r="J134" s="97"/>
      <c r="K134" s="79"/>
      <c r="L134" s="79"/>
      <c r="M134" s="79" t="str">
        <f>Table7281822432404856[[#This Row],[DBA]]&amp;" - "&amp;Table7281822432404856[[#This Row],[BIN]]&amp;" - "&amp;Table7281822432404856[[#This Row],[CAID]]</f>
        <v xml:space="preserve"> -  - </v>
      </c>
      <c r="N134" s="90"/>
    </row>
    <row r="135" spans="8:14" x14ac:dyDescent="0.25">
      <c r="H135" s="91"/>
      <c r="I135" s="91"/>
      <c r="J135" s="97"/>
      <c r="K135" s="79"/>
      <c r="L135" s="79"/>
      <c r="M135" s="79" t="str">
        <f>Table7281822432404856[[#This Row],[DBA]]&amp;" - "&amp;Table7281822432404856[[#This Row],[BIN]]&amp;" - "&amp;Table7281822432404856[[#This Row],[CAID]]</f>
        <v xml:space="preserve"> -  - </v>
      </c>
      <c r="N135" s="90"/>
    </row>
    <row r="136" spans="8:14" x14ac:dyDescent="0.25">
      <c r="H136" s="91"/>
      <c r="I136" s="91"/>
      <c r="J136" s="97"/>
      <c r="K136" s="79"/>
      <c r="L136" s="79"/>
      <c r="M136" s="79" t="str">
        <f>Table7281822432404856[[#This Row],[DBA]]&amp;" - "&amp;Table7281822432404856[[#This Row],[BIN]]&amp;" - "&amp;Table7281822432404856[[#This Row],[CAID]]</f>
        <v xml:space="preserve"> -  - </v>
      </c>
      <c r="N136" s="90"/>
    </row>
    <row r="137" spans="8:14" x14ac:dyDescent="0.25">
      <c r="H137" s="91"/>
      <c r="I137" s="91"/>
      <c r="J137" s="97"/>
      <c r="K137" s="79"/>
      <c r="L137" s="79"/>
      <c r="M137" s="79" t="str">
        <f>Table7281822432404856[[#This Row],[DBA]]&amp;" - "&amp;Table7281822432404856[[#This Row],[BIN]]&amp;" - "&amp;Table7281822432404856[[#This Row],[CAID]]</f>
        <v xml:space="preserve"> -  - </v>
      </c>
      <c r="N137" s="90"/>
    </row>
    <row r="138" spans="8:14" x14ac:dyDescent="0.25">
      <c r="H138" s="91"/>
      <c r="I138" s="91"/>
      <c r="J138" s="97"/>
      <c r="K138" s="79"/>
      <c r="L138" s="79"/>
      <c r="M138" s="79" t="str">
        <f>Table7281822432404856[[#This Row],[DBA]]&amp;" - "&amp;Table7281822432404856[[#This Row],[BIN]]&amp;" - "&amp;Table7281822432404856[[#This Row],[CAID]]</f>
        <v xml:space="preserve"> -  - </v>
      </c>
      <c r="N138" s="90"/>
    </row>
    <row r="139" spans="8:14" x14ac:dyDescent="0.25">
      <c r="H139" s="91"/>
      <c r="I139" s="91"/>
      <c r="J139" s="97"/>
      <c r="K139" s="79"/>
      <c r="L139" s="79"/>
      <c r="M139" s="79" t="str">
        <f>Table7281822432404856[[#This Row],[DBA]]&amp;" - "&amp;Table7281822432404856[[#This Row],[BIN]]&amp;" - "&amp;Table7281822432404856[[#This Row],[CAID]]</f>
        <v xml:space="preserve"> -  - </v>
      </c>
      <c r="N139" s="90"/>
    </row>
    <row r="140" spans="8:14" x14ac:dyDescent="0.25">
      <c r="H140" s="91"/>
      <c r="I140" s="91"/>
      <c r="J140" s="97"/>
      <c r="K140" s="79"/>
      <c r="L140" s="79"/>
      <c r="M140" s="79" t="str">
        <f>Table7281822432404856[[#This Row],[DBA]]&amp;" - "&amp;Table7281822432404856[[#This Row],[BIN]]&amp;" - "&amp;Table7281822432404856[[#This Row],[CAID]]</f>
        <v xml:space="preserve"> -  - </v>
      </c>
      <c r="N140" s="90"/>
    </row>
    <row r="141" spans="8:14" x14ac:dyDescent="0.25">
      <c r="H141" s="91"/>
      <c r="I141" s="91"/>
      <c r="J141" s="97"/>
      <c r="K141" s="79"/>
      <c r="L141" s="79"/>
      <c r="M141" s="79" t="str">
        <f>Table7281822432404856[[#This Row],[DBA]]&amp;" - "&amp;Table7281822432404856[[#This Row],[BIN]]&amp;" - "&amp;Table7281822432404856[[#This Row],[CAID]]</f>
        <v xml:space="preserve"> -  - </v>
      </c>
      <c r="N141" s="90"/>
    </row>
    <row r="142" spans="8:14" x14ac:dyDescent="0.25">
      <c r="H142" s="91"/>
      <c r="I142" s="91"/>
      <c r="J142" s="97"/>
      <c r="K142" s="79"/>
      <c r="L142" s="79"/>
      <c r="M142" s="79" t="str">
        <f>Table7281822432404856[[#This Row],[DBA]]&amp;" - "&amp;Table7281822432404856[[#This Row],[BIN]]&amp;" - "&amp;Table7281822432404856[[#This Row],[CAID]]</f>
        <v xml:space="preserve"> -  - </v>
      </c>
      <c r="N142" s="90"/>
    </row>
    <row r="143" spans="8:14" x14ac:dyDescent="0.25">
      <c r="H143" s="91"/>
      <c r="I143" s="91"/>
      <c r="J143" s="97"/>
      <c r="K143" s="79"/>
      <c r="L143" s="79"/>
      <c r="M143" s="79" t="str">
        <f>Table7281822432404856[[#This Row],[DBA]]&amp;" - "&amp;Table7281822432404856[[#This Row],[BIN]]&amp;" - "&amp;Table7281822432404856[[#This Row],[CAID]]</f>
        <v xml:space="preserve"> -  - </v>
      </c>
      <c r="N143" s="90"/>
    </row>
    <row r="144" spans="8:14" x14ac:dyDescent="0.25">
      <c r="H144" s="91"/>
      <c r="I144" s="91"/>
      <c r="J144" s="97"/>
      <c r="K144" s="79"/>
      <c r="L144" s="79"/>
      <c r="M144" s="79" t="str">
        <f>Table7281822432404856[[#This Row],[DBA]]&amp;" - "&amp;Table7281822432404856[[#This Row],[BIN]]&amp;" - "&amp;Table7281822432404856[[#This Row],[CAID]]</f>
        <v xml:space="preserve"> -  - </v>
      </c>
      <c r="N144" s="90"/>
    </row>
    <row r="145" spans="8:14" x14ac:dyDescent="0.25">
      <c r="H145" s="91"/>
      <c r="I145" s="91"/>
      <c r="J145" s="97"/>
      <c r="K145" s="79"/>
      <c r="L145" s="79"/>
      <c r="M145" s="79" t="str">
        <f>Table7281822432404856[[#This Row],[DBA]]&amp;" - "&amp;Table7281822432404856[[#This Row],[BIN]]&amp;" - "&amp;Table7281822432404856[[#This Row],[CAID]]</f>
        <v xml:space="preserve"> -  - </v>
      </c>
      <c r="N145" s="90"/>
    </row>
    <row r="146" spans="8:14" x14ac:dyDescent="0.25">
      <c r="H146" s="91"/>
      <c r="I146" s="91"/>
      <c r="J146" s="97"/>
      <c r="K146" s="79"/>
      <c r="L146" s="79"/>
      <c r="M146" s="79" t="str">
        <f>Table7281822432404856[[#This Row],[DBA]]&amp;" - "&amp;Table7281822432404856[[#This Row],[BIN]]&amp;" - "&amp;Table7281822432404856[[#This Row],[CAID]]</f>
        <v xml:space="preserve"> -  - </v>
      </c>
      <c r="N146" s="90"/>
    </row>
    <row r="147" spans="8:14" x14ac:dyDescent="0.25">
      <c r="H147" s="91"/>
      <c r="I147" s="91"/>
      <c r="J147" s="97"/>
      <c r="K147" s="79"/>
      <c r="L147" s="79"/>
      <c r="M147" s="79" t="str">
        <f>Table7281822432404856[[#This Row],[DBA]]&amp;" - "&amp;Table7281822432404856[[#This Row],[BIN]]&amp;" - "&amp;Table7281822432404856[[#This Row],[CAID]]</f>
        <v xml:space="preserve"> -  - </v>
      </c>
      <c r="N147" s="90"/>
    </row>
    <row r="148" spans="8:14" x14ac:dyDescent="0.25">
      <c r="H148" s="91"/>
      <c r="I148" s="91"/>
      <c r="J148" s="97"/>
      <c r="K148" s="79"/>
      <c r="L148" s="79"/>
      <c r="M148" s="79" t="str">
        <f>Table7281822432404856[[#This Row],[DBA]]&amp;" - "&amp;Table7281822432404856[[#This Row],[BIN]]&amp;" - "&amp;Table7281822432404856[[#This Row],[CAID]]</f>
        <v xml:space="preserve"> -  - </v>
      </c>
      <c r="N148" s="90"/>
    </row>
    <row r="149" spans="8:14" x14ac:dyDescent="0.25">
      <c r="H149" s="91"/>
      <c r="I149" s="91"/>
      <c r="J149" s="97"/>
      <c r="K149" s="79"/>
      <c r="L149" s="79"/>
      <c r="M149" s="79" t="str">
        <f>Table7281822432404856[[#This Row],[DBA]]&amp;" - "&amp;Table7281822432404856[[#This Row],[BIN]]&amp;" - "&amp;Table7281822432404856[[#This Row],[CAID]]</f>
        <v xml:space="preserve"> -  - </v>
      </c>
      <c r="N149" s="90"/>
    </row>
    <row r="150" spans="8:14" x14ac:dyDescent="0.25">
      <c r="H150" s="91"/>
      <c r="I150" s="91"/>
      <c r="J150" s="97"/>
      <c r="K150" s="79"/>
      <c r="L150" s="79"/>
      <c r="M150" s="79" t="str">
        <f>Table7281822432404856[[#This Row],[DBA]]&amp;" - "&amp;Table7281822432404856[[#This Row],[BIN]]&amp;" - "&amp;Table7281822432404856[[#This Row],[CAID]]</f>
        <v xml:space="preserve"> -  - </v>
      </c>
      <c r="N150" s="90"/>
    </row>
    <row r="151" spans="8:14" x14ac:dyDescent="0.25">
      <c r="H151" s="91"/>
      <c r="I151" s="91"/>
      <c r="J151" s="97"/>
      <c r="K151" s="79"/>
      <c r="L151" s="79"/>
      <c r="M151" s="79" t="str">
        <f>Table7281822432404856[[#This Row],[DBA]]&amp;" - "&amp;Table7281822432404856[[#This Row],[BIN]]&amp;" - "&amp;Table7281822432404856[[#This Row],[CAID]]</f>
        <v xml:space="preserve"> -  - </v>
      </c>
      <c r="N151" s="90"/>
    </row>
    <row r="152" spans="8:14" x14ac:dyDescent="0.25">
      <c r="H152" s="91"/>
      <c r="I152" s="91"/>
      <c r="J152" s="97"/>
      <c r="K152" s="79"/>
      <c r="L152" s="79"/>
      <c r="M152" s="79" t="str">
        <f>Table7281822432404856[[#This Row],[DBA]]&amp;" - "&amp;Table7281822432404856[[#This Row],[BIN]]&amp;" - "&amp;Table7281822432404856[[#This Row],[CAID]]</f>
        <v xml:space="preserve"> -  - </v>
      </c>
      <c r="N152" s="90"/>
    </row>
    <row r="153" spans="8:14" x14ac:dyDescent="0.25">
      <c r="H153" s="91"/>
      <c r="I153" s="91"/>
      <c r="J153" s="97"/>
      <c r="K153" s="79"/>
      <c r="L153" s="79"/>
      <c r="M153" s="79" t="str">
        <f>Table7281822432404856[[#This Row],[DBA]]&amp;" - "&amp;Table7281822432404856[[#This Row],[BIN]]&amp;" - "&amp;Table7281822432404856[[#This Row],[CAID]]</f>
        <v xml:space="preserve"> -  - </v>
      </c>
      <c r="N153" s="90"/>
    </row>
    <row r="154" spans="8:14" x14ac:dyDescent="0.25">
      <c r="H154" s="91"/>
      <c r="I154" s="91"/>
      <c r="J154" s="97"/>
      <c r="K154" s="79"/>
      <c r="L154" s="79"/>
      <c r="M154" s="79" t="str">
        <f>Table7281822432404856[[#This Row],[DBA]]&amp;" - "&amp;Table7281822432404856[[#This Row],[BIN]]&amp;" - "&amp;Table7281822432404856[[#This Row],[CAID]]</f>
        <v xml:space="preserve"> -  - </v>
      </c>
      <c r="N154" s="90"/>
    </row>
    <row r="155" spans="8:14" x14ac:dyDescent="0.25">
      <c r="H155" s="91"/>
      <c r="I155" s="91"/>
      <c r="J155" s="97"/>
      <c r="K155" s="79"/>
      <c r="L155" s="79"/>
      <c r="M155" s="79" t="str">
        <f>Table7281822432404856[[#This Row],[DBA]]&amp;" - "&amp;Table7281822432404856[[#This Row],[BIN]]&amp;" - "&amp;Table7281822432404856[[#This Row],[CAID]]</f>
        <v xml:space="preserve"> -  - </v>
      </c>
      <c r="N155" s="90"/>
    </row>
    <row r="156" spans="8:14" x14ac:dyDescent="0.25">
      <c r="H156" s="91"/>
      <c r="I156" s="91"/>
      <c r="J156" s="97"/>
      <c r="K156" s="79"/>
      <c r="L156" s="79"/>
      <c r="M156" s="79" t="str">
        <f>Table7281822432404856[[#This Row],[DBA]]&amp;" - "&amp;Table7281822432404856[[#This Row],[BIN]]&amp;" - "&amp;Table7281822432404856[[#This Row],[CAID]]</f>
        <v xml:space="preserve"> -  - </v>
      </c>
      <c r="N156" s="90"/>
    </row>
    <row r="157" spans="8:14" x14ac:dyDescent="0.25">
      <c r="H157" s="91"/>
      <c r="I157" s="91"/>
      <c r="J157" s="97"/>
      <c r="K157" s="79"/>
      <c r="L157" s="79"/>
      <c r="M157" s="79" t="str">
        <f>Table7281822432404856[[#This Row],[DBA]]&amp;" - "&amp;Table7281822432404856[[#This Row],[BIN]]&amp;" - "&amp;Table7281822432404856[[#This Row],[CAID]]</f>
        <v xml:space="preserve"> -  - </v>
      </c>
      <c r="N157" s="90"/>
    </row>
    <row r="158" spans="8:14" x14ac:dyDescent="0.25">
      <c r="H158" s="91"/>
      <c r="I158" s="91"/>
      <c r="J158" s="97"/>
      <c r="K158" s="79"/>
      <c r="L158" s="79"/>
      <c r="M158" s="79" t="str">
        <f>Table7281822432404856[[#This Row],[DBA]]&amp;" - "&amp;Table7281822432404856[[#This Row],[BIN]]&amp;" - "&amp;Table7281822432404856[[#This Row],[CAID]]</f>
        <v xml:space="preserve"> -  - </v>
      </c>
      <c r="N158" s="90"/>
    </row>
    <row r="159" spans="8:14" x14ac:dyDescent="0.25">
      <c r="H159" s="91"/>
      <c r="I159" s="91"/>
      <c r="J159" s="97"/>
      <c r="K159" s="79"/>
      <c r="L159" s="79"/>
      <c r="M159" s="79" t="str">
        <f>Table7281822432404856[[#This Row],[DBA]]&amp;" - "&amp;Table7281822432404856[[#This Row],[BIN]]&amp;" - "&amp;Table7281822432404856[[#This Row],[CAID]]</f>
        <v xml:space="preserve"> -  - </v>
      </c>
      <c r="N159" s="90"/>
    </row>
    <row r="160" spans="8:14" x14ac:dyDescent="0.25">
      <c r="H160" s="91"/>
      <c r="I160" s="91"/>
      <c r="J160" s="97"/>
      <c r="K160" s="79"/>
      <c r="L160" s="79"/>
      <c r="M160" s="79" t="str">
        <f>Table7281822432404856[[#This Row],[DBA]]&amp;" - "&amp;Table7281822432404856[[#This Row],[BIN]]&amp;" - "&amp;Table7281822432404856[[#This Row],[CAID]]</f>
        <v xml:space="preserve"> -  - </v>
      </c>
      <c r="N160" s="90"/>
    </row>
    <row r="161" spans="8:14" x14ac:dyDescent="0.25">
      <c r="H161" s="91"/>
      <c r="I161" s="91"/>
      <c r="J161" s="97"/>
      <c r="K161" s="79"/>
      <c r="L161" s="79"/>
      <c r="M161" s="79" t="str">
        <f>Table7281822432404856[[#This Row],[DBA]]&amp;" - "&amp;Table7281822432404856[[#This Row],[BIN]]&amp;" - "&amp;Table7281822432404856[[#This Row],[CAID]]</f>
        <v xml:space="preserve"> -  - </v>
      </c>
      <c r="N161" s="90"/>
    </row>
    <row r="162" spans="8:14" x14ac:dyDescent="0.25">
      <c r="H162" s="91"/>
      <c r="I162" s="91"/>
      <c r="J162" s="97"/>
      <c r="K162" s="79"/>
      <c r="L162" s="79"/>
      <c r="M162" s="79" t="str">
        <f>Table7281822432404856[[#This Row],[DBA]]&amp;" - "&amp;Table7281822432404856[[#This Row],[BIN]]&amp;" - "&amp;Table7281822432404856[[#This Row],[CAID]]</f>
        <v xml:space="preserve"> -  - </v>
      </c>
      <c r="N162" s="90"/>
    </row>
    <row r="163" spans="8:14" x14ac:dyDescent="0.25">
      <c r="H163" s="91"/>
      <c r="I163" s="91"/>
      <c r="J163" s="97"/>
      <c r="K163" s="79"/>
      <c r="L163" s="79"/>
      <c r="M163" s="79" t="str">
        <f>Table7281822432404856[[#This Row],[DBA]]&amp;" - "&amp;Table7281822432404856[[#This Row],[BIN]]&amp;" - "&amp;Table7281822432404856[[#This Row],[CAID]]</f>
        <v xml:space="preserve"> -  - </v>
      </c>
      <c r="N163" s="90"/>
    </row>
    <row r="164" spans="8:14" x14ac:dyDescent="0.25">
      <c r="H164" s="91"/>
      <c r="I164" s="91"/>
      <c r="J164" s="97"/>
      <c r="K164" s="79"/>
      <c r="L164" s="79"/>
      <c r="M164" s="79" t="str">
        <f>Table7281822432404856[[#This Row],[DBA]]&amp;" - "&amp;Table7281822432404856[[#This Row],[BIN]]&amp;" - "&amp;Table7281822432404856[[#This Row],[CAID]]</f>
        <v xml:space="preserve"> -  - </v>
      </c>
      <c r="N164" s="90"/>
    </row>
    <row r="165" spans="8:14" x14ac:dyDescent="0.25">
      <c r="H165" s="91"/>
      <c r="I165" s="91"/>
      <c r="J165" s="97"/>
      <c r="K165" s="79"/>
      <c r="L165" s="79"/>
      <c r="M165" s="79" t="str">
        <f>Table7281822432404856[[#This Row],[DBA]]&amp;" - "&amp;Table7281822432404856[[#This Row],[BIN]]&amp;" - "&amp;Table7281822432404856[[#This Row],[CAID]]</f>
        <v xml:space="preserve"> -  - </v>
      </c>
      <c r="N165" s="90"/>
    </row>
    <row r="166" spans="8:14" x14ac:dyDescent="0.25">
      <c r="H166" s="91"/>
      <c r="I166" s="91"/>
      <c r="J166" s="97"/>
      <c r="K166" s="79"/>
      <c r="L166" s="79"/>
      <c r="M166" s="79" t="str">
        <f>Table7281822432404856[[#This Row],[DBA]]&amp;" - "&amp;Table7281822432404856[[#This Row],[BIN]]&amp;" - "&amp;Table7281822432404856[[#This Row],[CAID]]</f>
        <v xml:space="preserve"> -  - </v>
      </c>
      <c r="N166" s="90"/>
    </row>
    <row r="167" spans="8:14" x14ac:dyDescent="0.25">
      <c r="H167" s="91"/>
      <c r="I167" s="91"/>
      <c r="J167" s="97"/>
      <c r="K167" s="79"/>
      <c r="L167" s="79"/>
      <c r="M167" s="79" t="str">
        <f>Table7281822432404856[[#This Row],[DBA]]&amp;" - "&amp;Table7281822432404856[[#This Row],[BIN]]&amp;" - "&amp;Table7281822432404856[[#This Row],[CAID]]</f>
        <v xml:space="preserve"> -  - </v>
      </c>
      <c r="N167" s="90"/>
    </row>
    <row r="168" spans="8:14" x14ac:dyDescent="0.25">
      <c r="H168" s="91"/>
      <c r="I168" s="91"/>
      <c r="J168" s="97"/>
      <c r="K168" s="79"/>
      <c r="L168" s="79"/>
      <c r="M168" s="79" t="str">
        <f>Table7281822432404856[[#This Row],[DBA]]&amp;" - "&amp;Table7281822432404856[[#This Row],[BIN]]&amp;" - "&amp;Table7281822432404856[[#This Row],[CAID]]</f>
        <v xml:space="preserve"> -  - </v>
      </c>
      <c r="N168" s="90"/>
    </row>
    <row r="169" spans="8:14" x14ac:dyDescent="0.25">
      <c r="H169" s="91"/>
      <c r="I169" s="91"/>
      <c r="J169" s="97"/>
      <c r="K169" s="79"/>
      <c r="L169" s="79"/>
      <c r="M169" s="79" t="str">
        <f>Table7281822432404856[[#This Row],[DBA]]&amp;" - "&amp;Table7281822432404856[[#This Row],[BIN]]&amp;" - "&amp;Table7281822432404856[[#This Row],[CAID]]</f>
        <v xml:space="preserve"> -  - </v>
      </c>
      <c r="N169" s="90"/>
    </row>
    <row r="170" spans="8:14" x14ac:dyDescent="0.25">
      <c r="H170" s="91"/>
      <c r="I170" s="91"/>
      <c r="J170" s="97"/>
      <c r="K170" s="79"/>
      <c r="L170" s="79"/>
      <c r="M170" s="79" t="str">
        <f>Table7281822432404856[[#This Row],[DBA]]&amp;" - "&amp;Table7281822432404856[[#This Row],[BIN]]&amp;" - "&amp;Table7281822432404856[[#This Row],[CAID]]</f>
        <v xml:space="preserve"> -  - </v>
      </c>
      <c r="N170" s="90"/>
    </row>
    <row r="171" spans="8:14" x14ac:dyDescent="0.25">
      <c r="H171" s="91"/>
      <c r="I171" s="91"/>
      <c r="J171" s="97"/>
      <c r="K171" s="79"/>
      <c r="L171" s="79"/>
      <c r="M171" s="79" t="str">
        <f>Table7281822432404856[[#This Row],[DBA]]&amp;" - "&amp;Table7281822432404856[[#This Row],[BIN]]&amp;" - "&amp;Table7281822432404856[[#This Row],[CAID]]</f>
        <v xml:space="preserve"> -  - </v>
      </c>
      <c r="N171" s="90"/>
    </row>
    <row r="172" spans="8:14" x14ac:dyDescent="0.25">
      <c r="H172" s="91"/>
      <c r="I172" s="91"/>
      <c r="J172" s="97"/>
      <c r="K172" s="79"/>
      <c r="L172" s="79"/>
      <c r="M172" s="79" t="str">
        <f>Table7281822432404856[[#This Row],[DBA]]&amp;" - "&amp;Table7281822432404856[[#This Row],[BIN]]&amp;" - "&amp;Table7281822432404856[[#This Row],[CAID]]</f>
        <v xml:space="preserve"> -  - </v>
      </c>
      <c r="N172" s="90"/>
    </row>
    <row r="173" spans="8:14" x14ac:dyDescent="0.25">
      <c r="H173" s="91"/>
      <c r="I173" s="91"/>
      <c r="J173" s="97"/>
      <c r="K173" s="79"/>
      <c r="L173" s="79"/>
      <c r="M173" s="79" t="str">
        <f>Table7281822432404856[[#This Row],[DBA]]&amp;" - "&amp;Table7281822432404856[[#This Row],[BIN]]&amp;" - "&amp;Table7281822432404856[[#This Row],[CAID]]</f>
        <v xml:space="preserve"> -  - </v>
      </c>
      <c r="N173" s="90"/>
    </row>
    <row r="174" spans="8:14" x14ac:dyDescent="0.25">
      <c r="H174" s="91"/>
      <c r="I174" s="91"/>
      <c r="J174" s="97"/>
      <c r="K174" s="79"/>
      <c r="L174" s="79"/>
      <c r="M174" s="79" t="str">
        <f>Table7281822432404856[[#This Row],[DBA]]&amp;" - "&amp;Table7281822432404856[[#This Row],[BIN]]&amp;" - "&amp;Table7281822432404856[[#This Row],[CAID]]</f>
        <v xml:space="preserve"> -  - </v>
      </c>
      <c r="N174" s="90"/>
    </row>
    <row r="175" spans="8:14" x14ac:dyDescent="0.25">
      <c r="H175" s="91"/>
      <c r="I175" s="91"/>
      <c r="J175" s="97"/>
      <c r="K175" s="79"/>
      <c r="L175" s="79"/>
      <c r="M175" s="79" t="str">
        <f>Table7281822432404856[[#This Row],[DBA]]&amp;" - "&amp;Table7281822432404856[[#This Row],[BIN]]&amp;" - "&amp;Table7281822432404856[[#This Row],[CAID]]</f>
        <v xml:space="preserve"> -  - </v>
      </c>
      <c r="N175" s="90"/>
    </row>
    <row r="176" spans="8:14" x14ac:dyDescent="0.25">
      <c r="H176" s="91"/>
      <c r="I176" s="91"/>
      <c r="J176" s="97"/>
      <c r="K176" s="79"/>
      <c r="L176" s="79"/>
      <c r="M176" s="79" t="str">
        <f>Table7281822432404856[[#This Row],[DBA]]&amp;" - "&amp;Table7281822432404856[[#This Row],[BIN]]&amp;" - "&amp;Table7281822432404856[[#This Row],[CAID]]</f>
        <v xml:space="preserve"> -  - </v>
      </c>
      <c r="N176" s="90"/>
    </row>
    <row r="177" spans="8:14" x14ac:dyDescent="0.25">
      <c r="H177" s="91"/>
      <c r="I177" s="91"/>
      <c r="J177" s="97"/>
      <c r="K177" s="79"/>
      <c r="L177" s="79"/>
      <c r="M177" s="79" t="str">
        <f>Table7281822432404856[[#This Row],[DBA]]&amp;" - "&amp;Table7281822432404856[[#This Row],[BIN]]&amp;" - "&amp;Table7281822432404856[[#This Row],[CAID]]</f>
        <v xml:space="preserve"> -  - </v>
      </c>
      <c r="N177" s="90"/>
    </row>
    <row r="178" spans="8:14" x14ac:dyDescent="0.25">
      <c r="H178" s="91"/>
      <c r="I178" s="91"/>
      <c r="J178" s="97"/>
      <c r="K178" s="79"/>
      <c r="L178" s="79"/>
      <c r="M178" s="79" t="str">
        <f>Table7281822432404856[[#This Row],[DBA]]&amp;" - "&amp;Table7281822432404856[[#This Row],[BIN]]&amp;" - "&amp;Table7281822432404856[[#This Row],[CAID]]</f>
        <v xml:space="preserve"> -  - </v>
      </c>
      <c r="N178" s="90"/>
    </row>
    <row r="179" spans="8:14" x14ac:dyDescent="0.25">
      <c r="H179" s="91"/>
      <c r="I179" s="91"/>
      <c r="J179" s="97"/>
      <c r="K179" s="79"/>
      <c r="L179" s="79"/>
      <c r="M179" s="79" t="str">
        <f>Table7281822432404856[[#This Row],[DBA]]&amp;" - "&amp;Table7281822432404856[[#This Row],[BIN]]&amp;" - "&amp;Table7281822432404856[[#This Row],[CAID]]</f>
        <v xml:space="preserve"> -  - </v>
      </c>
      <c r="N179" s="90"/>
    </row>
    <row r="180" spans="8:14" x14ac:dyDescent="0.25">
      <c r="H180" s="91"/>
      <c r="I180" s="91"/>
      <c r="J180" s="97"/>
      <c r="K180" s="79"/>
      <c r="L180" s="79"/>
      <c r="M180" s="79" t="str">
        <f>Table7281822432404856[[#This Row],[DBA]]&amp;" - "&amp;Table7281822432404856[[#This Row],[BIN]]&amp;" - "&amp;Table7281822432404856[[#This Row],[CAID]]</f>
        <v xml:space="preserve"> -  - </v>
      </c>
      <c r="N180" s="90"/>
    </row>
    <row r="181" spans="8:14" x14ac:dyDescent="0.25">
      <c r="H181" s="91"/>
      <c r="I181" s="91"/>
      <c r="J181" s="97"/>
      <c r="K181" s="79"/>
      <c r="L181" s="79"/>
      <c r="M181" s="79" t="str">
        <f>Table7281822432404856[[#This Row],[DBA]]&amp;" - "&amp;Table7281822432404856[[#This Row],[BIN]]&amp;" - "&amp;Table7281822432404856[[#This Row],[CAID]]</f>
        <v xml:space="preserve"> -  - </v>
      </c>
      <c r="N181" s="90"/>
    </row>
    <row r="182" spans="8:14" x14ac:dyDescent="0.25">
      <c r="H182" s="91"/>
      <c r="I182" s="91"/>
      <c r="J182" s="97"/>
      <c r="K182" s="79"/>
      <c r="L182" s="79"/>
      <c r="M182" s="79" t="str">
        <f>Table7281822432404856[[#This Row],[DBA]]&amp;" - "&amp;Table7281822432404856[[#This Row],[BIN]]&amp;" - "&amp;Table7281822432404856[[#This Row],[CAID]]</f>
        <v xml:space="preserve"> -  - </v>
      </c>
      <c r="N182" s="90"/>
    </row>
    <row r="183" spans="8:14" x14ac:dyDescent="0.25">
      <c r="H183" s="91"/>
      <c r="I183" s="91"/>
      <c r="J183" s="97"/>
      <c r="K183" s="79"/>
      <c r="L183" s="79"/>
      <c r="M183" s="79" t="str">
        <f>Table7281822432404856[[#This Row],[DBA]]&amp;" - "&amp;Table7281822432404856[[#This Row],[BIN]]&amp;" - "&amp;Table7281822432404856[[#This Row],[CAID]]</f>
        <v xml:space="preserve"> -  - </v>
      </c>
      <c r="N183" s="90"/>
    </row>
    <row r="184" spans="8:14" x14ac:dyDescent="0.25">
      <c r="H184" s="91"/>
      <c r="I184" s="91"/>
      <c r="J184" s="97"/>
      <c r="K184" s="79"/>
      <c r="L184" s="79"/>
      <c r="M184" s="79" t="str">
        <f>Table7281822432404856[[#This Row],[DBA]]&amp;" - "&amp;Table7281822432404856[[#This Row],[BIN]]&amp;" - "&amp;Table7281822432404856[[#This Row],[CAID]]</f>
        <v xml:space="preserve"> -  - </v>
      </c>
      <c r="N184" s="90"/>
    </row>
    <row r="185" spans="8:14" x14ac:dyDescent="0.25">
      <c r="H185" s="91"/>
      <c r="I185" s="91"/>
      <c r="J185" s="97"/>
      <c r="K185" s="79"/>
      <c r="L185" s="79"/>
      <c r="M185" s="79" t="str">
        <f>Table7281822432404856[[#This Row],[DBA]]&amp;" - "&amp;Table7281822432404856[[#This Row],[BIN]]&amp;" - "&amp;Table7281822432404856[[#This Row],[CAID]]</f>
        <v xml:space="preserve"> -  - </v>
      </c>
      <c r="N185" s="90"/>
    </row>
    <row r="186" spans="8:14" x14ac:dyDescent="0.25">
      <c r="H186" s="91"/>
      <c r="I186" s="91"/>
      <c r="J186" s="97"/>
      <c r="K186" s="79"/>
      <c r="L186" s="79"/>
      <c r="M186" s="79" t="str">
        <f>Table7281822432404856[[#This Row],[DBA]]&amp;" - "&amp;Table7281822432404856[[#This Row],[BIN]]&amp;" - "&amp;Table7281822432404856[[#This Row],[CAID]]</f>
        <v xml:space="preserve"> -  - </v>
      </c>
      <c r="N186" s="90"/>
    </row>
    <row r="187" spans="8:14" x14ac:dyDescent="0.25">
      <c r="H187" s="91"/>
      <c r="I187" s="91"/>
      <c r="J187" s="97"/>
      <c r="K187" s="79"/>
      <c r="L187" s="79"/>
      <c r="M187" s="79" t="str">
        <f>Table7281822432404856[[#This Row],[DBA]]&amp;" - "&amp;Table7281822432404856[[#This Row],[BIN]]&amp;" - "&amp;Table7281822432404856[[#This Row],[CAID]]</f>
        <v xml:space="preserve"> -  - </v>
      </c>
      <c r="N187" s="90"/>
    </row>
    <row r="188" spans="8:14" x14ac:dyDescent="0.25">
      <c r="H188" s="91"/>
      <c r="I188" s="91"/>
      <c r="J188" s="97"/>
      <c r="K188" s="79"/>
      <c r="L188" s="79"/>
      <c r="M188" s="79" t="str">
        <f>Table7281822432404856[[#This Row],[DBA]]&amp;" - "&amp;Table7281822432404856[[#This Row],[BIN]]&amp;" - "&amp;Table7281822432404856[[#This Row],[CAID]]</f>
        <v xml:space="preserve"> -  - </v>
      </c>
      <c r="N188" s="90"/>
    </row>
    <row r="189" spans="8:14" x14ac:dyDescent="0.25">
      <c r="H189" s="91"/>
      <c r="I189" s="91"/>
      <c r="J189" s="97"/>
      <c r="K189" s="79"/>
      <c r="L189" s="79"/>
      <c r="M189" s="79" t="str">
        <f>Table7281822432404856[[#This Row],[DBA]]&amp;" - "&amp;Table7281822432404856[[#This Row],[BIN]]&amp;" - "&amp;Table7281822432404856[[#This Row],[CAID]]</f>
        <v xml:space="preserve"> -  - </v>
      </c>
      <c r="N189" s="90"/>
    </row>
    <row r="190" spans="8:14" x14ac:dyDescent="0.25">
      <c r="H190" s="91"/>
      <c r="I190" s="91"/>
      <c r="J190" s="97"/>
      <c r="K190" s="79"/>
      <c r="L190" s="79"/>
      <c r="M190" s="79" t="str">
        <f>Table7281822432404856[[#This Row],[DBA]]&amp;" - "&amp;Table7281822432404856[[#This Row],[BIN]]&amp;" - "&amp;Table7281822432404856[[#This Row],[CAID]]</f>
        <v xml:space="preserve"> -  - </v>
      </c>
      <c r="N190" s="90"/>
    </row>
    <row r="191" spans="8:14" x14ac:dyDescent="0.25">
      <c r="H191" s="91"/>
      <c r="I191" s="91"/>
      <c r="J191" s="97"/>
      <c r="K191" s="79"/>
      <c r="L191" s="79"/>
      <c r="M191" s="79" t="str">
        <f>Table7281822432404856[[#This Row],[DBA]]&amp;" - "&amp;Table7281822432404856[[#This Row],[BIN]]&amp;" - "&amp;Table7281822432404856[[#This Row],[CAID]]</f>
        <v xml:space="preserve"> -  - </v>
      </c>
      <c r="N191" s="90"/>
    </row>
    <row r="192" spans="8:14" x14ac:dyDescent="0.25">
      <c r="H192" s="91"/>
      <c r="I192" s="91"/>
      <c r="J192" s="97"/>
      <c r="K192" s="79"/>
      <c r="L192" s="79"/>
      <c r="M192" s="79" t="str">
        <f>Table7281822432404856[[#This Row],[DBA]]&amp;" - "&amp;Table7281822432404856[[#This Row],[BIN]]&amp;" - "&amp;Table7281822432404856[[#This Row],[CAID]]</f>
        <v xml:space="preserve"> -  - </v>
      </c>
      <c r="N192" s="90"/>
    </row>
    <row r="193" spans="8:14" x14ac:dyDescent="0.25">
      <c r="H193" s="91"/>
      <c r="I193" s="91"/>
      <c r="J193" s="97"/>
      <c r="K193" s="79"/>
      <c r="L193" s="79"/>
      <c r="M193" s="79" t="str">
        <f>Table7281822432404856[[#This Row],[DBA]]&amp;" - "&amp;Table7281822432404856[[#This Row],[BIN]]&amp;" - "&amp;Table7281822432404856[[#This Row],[CAID]]</f>
        <v xml:space="preserve"> -  - </v>
      </c>
      <c r="N193" s="90"/>
    </row>
    <row r="194" spans="8:14" x14ac:dyDescent="0.25">
      <c r="H194" s="91"/>
      <c r="I194" s="91"/>
      <c r="J194" s="97"/>
      <c r="K194" s="79"/>
      <c r="L194" s="79"/>
      <c r="M194" s="79" t="str">
        <f>Table7281822432404856[[#This Row],[DBA]]&amp;" - "&amp;Table7281822432404856[[#This Row],[BIN]]&amp;" - "&amp;Table7281822432404856[[#This Row],[CAID]]</f>
        <v xml:space="preserve"> -  - </v>
      </c>
      <c r="N194" s="90"/>
    </row>
    <row r="195" spans="8:14" x14ac:dyDescent="0.25">
      <c r="H195" s="91"/>
      <c r="I195" s="91"/>
      <c r="J195" s="97"/>
      <c r="K195" s="79"/>
      <c r="L195" s="79"/>
      <c r="M195" s="79" t="str">
        <f>Table7281822432404856[[#This Row],[DBA]]&amp;" - "&amp;Table7281822432404856[[#This Row],[BIN]]&amp;" - "&amp;Table7281822432404856[[#This Row],[CAID]]</f>
        <v xml:space="preserve"> -  - </v>
      </c>
      <c r="N195" s="90"/>
    </row>
    <row r="196" spans="8:14" x14ac:dyDescent="0.25">
      <c r="H196" s="91"/>
      <c r="I196" s="91"/>
      <c r="J196" s="97"/>
      <c r="K196" s="79"/>
      <c r="L196" s="79"/>
      <c r="M196" s="79" t="str">
        <f>Table7281822432404856[[#This Row],[DBA]]&amp;" - "&amp;Table7281822432404856[[#This Row],[BIN]]&amp;" - "&amp;Table7281822432404856[[#This Row],[CAID]]</f>
        <v xml:space="preserve"> -  - </v>
      </c>
      <c r="N196" s="90"/>
    </row>
    <row r="197" spans="8:14" x14ac:dyDescent="0.25">
      <c r="H197" s="91"/>
      <c r="I197" s="91"/>
      <c r="J197" s="97"/>
      <c r="K197" s="79"/>
      <c r="L197" s="79"/>
      <c r="M197" s="79" t="str">
        <f>Table7281822432404856[[#This Row],[DBA]]&amp;" - "&amp;Table7281822432404856[[#This Row],[BIN]]&amp;" - "&amp;Table7281822432404856[[#This Row],[CAID]]</f>
        <v xml:space="preserve"> -  - </v>
      </c>
      <c r="N197" s="90"/>
    </row>
    <row r="198" spans="8:14" x14ac:dyDescent="0.25">
      <c r="H198" s="91"/>
      <c r="I198" s="91"/>
      <c r="J198" s="97"/>
      <c r="K198" s="79"/>
      <c r="L198" s="79"/>
      <c r="M198" s="79" t="str">
        <f>Table7281822432404856[[#This Row],[DBA]]&amp;" - "&amp;Table7281822432404856[[#This Row],[BIN]]&amp;" - "&amp;Table7281822432404856[[#This Row],[CAID]]</f>
        <v xml:space="preserve"> -  - </v>
      </c>
      <c r="N198" s="90"/>
    </row>
    <row r="199" spans="8:14" x14ac:dyDescent="0.25">
      <c r="H199" s="91"/>
      <c r="I199" s="91"/>
      <c r="J199" s="97"/>
      <c r="K199" s="79"/>
      <c r="L199" s="79"/>
      <c r="M199" s="79" t="str">
        <f>Table7281822432404856[[#This Row],[DBA]]&amp;" - "&amp;Table7281822432404856[[#This Row],[BIN]]&amp;" - "&amp;Table7281822432404856[[#This Row],[CAID]]</f>
        <v xml:space="preserve"> -  - </v>
      </c>
      <c r="N199" s="90"/>
    </row>
    <row r="200" spans="8:14" x14ac:dyDescent="0.25">
      <c r="H200" s="91"/>
      <c r="I200" s="91"/>
      <c r="J200" s="97"/>
      <c r="K200" s="79"/>
      <c r="L200" s="79"/>
      <c r="M200" s="79" t="str">
        <f>Table7281822432404856[[#This Row],[DBA]]&amp;" - "&amp;Table7281822432404856[[#This Row],[BIN]]&amp;" - "&amp;Table7281822432404856[[#This Row],[CAID]]</f>
        <v xml:space="preserve"> -  - </v>
      </c>
      <c r="N200" s="90"/>
    </row>
    <row r="201" spans="8:14" x14ac:dyDescent="0.25">
      <c r="H201" s="91"/>
      <c r="I201" s="91"/>
      <c r="J201" s="97"/>
      <c r="K201" s="79"/>
      <c r="L201" s="79"/>
      <c r="M201" s="79" t="str">
        <f>Table7281822432404856[[#This Row],[DBA]]&amp;" - "&amp;Table7281822432404856[[#This Row],[BIN]]&amp;" - "&amp;Table7281822432404856[[#This Row],[CAID]]</f>
        <v xml:space="preserve"> -  - </v>
      </c>
      <c r="N201" s="90"/>
    </row>
    <row r="202" spans="8:14" x14ac:dyDescent="0.25">
      <c r="H202" s="91"/>
      <c r="I202" s="91"/>
      <c r="J202" s="97"/>
      <c r="K202" s="79"/>
      <c r="L202" s="79"/>
      <c r="M202" s="79" t="str">
        <f>Table7281822432404856[[#This Row],[DBA]]&amp;" - "&amp;Table7281822432404856[[#This Row],[BIN]]&amp;" - "&amp;Table7281822432404856[[#This Row],[CAID]]</f>
        <v xml:space="preserve"> -  - </v>
      </c>
      <c r="N202" s="90"/>
    </row>
    <row r="203" spans="8:14" x14ac:dyDescent="0.25">
      <c r="H203" s="91"/>
      <c r="I203" s="91"/>
      <c r="J203" s="97"/>
      <c r="K203" s="79"/>
      <c r="L203" s="79"/>
      <c r="M203" s="79" t="str">
        <f>Table7281822432404856[[#This Row],[DBA]]&amp;" - "&amp;Table7281822432404856[[#This Row],[BIN]]&amp;" - "&amp;Table7281822432404856[[#This Row],[CAID]]</f>
        <v xml:space="preserve"> -  - </v>
      </c>
      <c r="N203" s="90"/>
    </row>
    <row r="204" spans="8:14" x14ac:dyDescent="0.25">
      <c r="H204" s="91"/>
      <c r="I204" s="91"/>
      <c r="J204" s="97"/>
      <c r="K204" s="79"/>
      <c r="L204" s="79"/>
      <c r="M204" s="79" t="str">
        <f>Table7281822432404856[[#This Row],[DBA]]&amp;" - "&amp;Table7281822432404856[[#This Row],[BIN]]&amp;" - "&amp;Table7281822432404856[[#This Row],[CAID]]</f>
        <v xml:space="preserve"> -  - </v>
      </c>
      <c r="N204" s="90"/>
    </row>
    <row r="205" spans="8:14" x14ac:dyDescent="0.25">
      <c r="H205" s="91"/>
      <c r="I205" s="91"/>
      <c r="J205" s="97"/>
      <c r="K205" s="79"/>
      <c r="L205" s="79"/>
      <c r="M205" s="79" t="str">
        <f>Table7281822432404856[[#This Row],[DBA]]&amp;" - "&amp;Table7281822432404856[[#This Row],[BIN]]&amp;" - "&amp;Table7281822432404856[[#This Row],[CAID]]</f>
        <v xml:space="preserve"> -  - </v>
      </c>
      <c r="N205" s="90"/>
    </row>
    <row r="206" spans="8:14" x14ac:dyDescent="0.25">
      <c r="H206" s="91"/>
      <c r="I206" s="91"/>
      <c r="J206" s="97"/>
      <c r="K206" s="79"/>
      <c r="L206" s="79"/>
      <c r="M206" s="79" t="str">
        <f>Table7281822432404856[[#This Row],[DBA]]&amp;" - "&amp;Table7281822432404856[[#This Row],[BIN]]&amp;" - "&amp;Table7281822432404856[[#This Row],[CAID]]</f>
        <v xml:space="preserve"> -  - </v>
      </c>
      <c r="N206" s="90"/>
    </row>
    <row r="207" spans="8:14" x14ac:dyDescent="0.25">
      <c r="H207" s="91"/>
      <c r="I207" s="91"/>
      <c r="J207" s="97"/>
      <c r="K207" s="79"/>
      <c r="L207" s="79"/>
      <c r="M207" s="79" t="str">
        <f>Table7281822432404856[[#This Row],[DBA]]&amp;" - "&amp;Table7281822432404856[[#This Row],[BIN]]&amp;" - "&amp;Table7281822432404856[[#This Row],[CAID]]</f>
        <v xml:space="preserve"> -  - </v>
      </c>
      <c r="N207" s="90"/>
    </row>
    <row r="208" spans="8:14" x14ac:dyDescent="0.25">
      <c r="H208" s="91"/>
      <c r="I208" s="91"/>
      <c r="J208" s="97"/>
      <c r="K208" s="79"/>
      <c r="L208" s="79"/>
      <c r="M208" s="79" t="str">
        <f>Table7281822432404856[[#This Row],[DBA]]&amp;" - "&amp;Table7281822432404856[[#This Row],[BIN]]&amp;" - "&amp;Table7281822432404856[[#This Row],[CAID]]</f>
        <v xml:space="preserve"> -  - </v>
      </c>
      <c r="N208" s="90"/>
    </row>
    <row r="209" spans="8:14" x14ac:dyDescent="0.25">
      <c r="H209" s="91"/>
      <c r="I209" s="91"/>
      <c r="J209" s="97"/>
      <c r="K209" s="79"/>
      <c r="L209" s="79"/>
      <c r="M209" s="79" t="str">
        <f>Table7281822432404856[[#This Row],[DBA]]&amp;" - "&amp;Table7281822432404856[[#This Row],[BIN]]&amp;" - "&amp;Table7281822432404856[[#This Row],[CAID]]</f>
        <v xml:space="preserve"> -  - </v>
      </c>
      <c r="N209" s="90"/>
    </row>
    <row r="210" spans="8:14" x14ac:dyDescent="0.25">
      <c r="H210" s="91"/>
      <c r="I210" s="91"/>
      <c r="J210" s="97"/>
      <c r="K210" s="79"/>
      <c r="L210" s="79"/>
      <c r="M210" s="79" t="str">
        <f>Table7281822432404856[[#This Row],[DBA]]&amp;" - "&amp;Table7281822432404856[[#This Row],[BIN]]&amp;" - "&amp;Table7281822432404856[[#This Row],[CAID]]</f>
        <v xml:space="preserve"> -  - </v>
      </c>
      <c r="N210" s="90"/>
    </row>
    <row r="211" spans="8:14" x14ac:dyDescent="0.25">
      <c r="H211" s="91"/>
      <c r="I211" s="91"/>
      <c r="J211" s="97"/>
      <c r="K211" s="79"/>
      <c r="L211" s="79"/>
      <c r="M211" s="79" t="str">
        <f>Table7281822432404856[[#This Row],[DBA]]&amp;" - "&amp;Table7281822432404856[[#This Row],[BIN]]&amp;" - "&amp;Table7281822432404856[[#This Row],[CAID]]</f>
        <v xml:space="preserve"> -  - </v>
      </c>
      <c r="N211" s="90"/>
    </row>
    <row r="212" spans="8:14" x14ac:dyDescent="0.25">
      <c r="H212" s="91"/>
      <c r="I212" s="91"/>
      <c r="J212" s="97"/>
      <c r="K212" s="79"/>
      <c r="L212" s="79"/>
      <c r="M212" s="79" t="str">
        <f>Table7281822432404856[[#This Row],[DBA]]&amp;" - "&amp;Table7281822432404856[[#This Row],[BIN]]&amp;" - "&amp;Table7281822432404856[[#This Row],[CAID]]</f>
        <v xml:space="preserve"> -  - </v>
      </c>
      <c r="N212" s="90"/>
    </row>
    <row r="213" spans="8:14" x14ac:dyDescent="0.25">
      <c r="H213" s="91"/>
      <c r="I213" s="91"/>
      <c r="J213" s="97"/>
      <c r="K213" s="79"/>
      <c r="L213" s="79"/>
      <c r="M213" s="79" t="str">
        <f>Table7281822432404856[[#This Row],[DBA]]&amp;" - "&amp;Table7281822432404856[[#This Row],[BIN]]&amp;" - "&amp;Table7281822432404856[[#This Row],[CAID]]</f>
        <v xml:space="preserve"> -  - </v>
      </c>
      <c r="N213" s="90"/>
    </row>
    <row r="214" spans="8:14" x14ac:dyDescent="0.25">
      <c r="H214" s="91"/>
      <c r="I214" s="91"/>
      <c r="J214" s="97"/>
      <c r="K214" s="79"/>
      <c r="L214" s="79"/>
      <c r="M214" s="79" t="str">
        <f>Table7281822432404856[[#This Row],[DBA]]&amp;" - "&amp;Table7281822432404856[[#This Row],[BIN]]&amp;" - "&amp;Table7281822432404856[[#This Row],[CAID]]</f>
        <v xml:space="preserve"> -  - </v>
      </c>
      <c r="N214" s="90"/>
    </row>
    <row r="215" spans="8:14" x14ac:dyDescent="0.25">
      <c r="H215" s="91"/>
      <c r="I215" s="91"/>
      <c r="J215" s="97"/>
      <c r="K215" s="79"/>
      <c r="L215" s="79"/>
      <c r="M215" s="79" t="str">
        <f>Table7281822432404856[[#This Row],[DBA]]&amp;" - "&amp;Table7281822432404856[[#This Row],[BIN]]&amp;" - "&amp;Table7281822432404856[[#This Row],[CAID]]</f>
        <v xml:space="preserve"> -  - </v>
      </c>
      <c r="N215" s="90"/>
    </row>
    <row r="216" spans="8:14" x14ac:dyDescent="0.25">
      <c r="H216" s="91"/>
      <c r="I216" s="91"/>
      <c r="J216" s="97"/>
      <c r="K216" s="79"/>
      <c r="L216" s="79"/>
      <c r="M216" s="79" t="str">
        <f>Table7281822432404856[[#This Row],[DBA]]&amp;" - "&amp;Table7281822432404856[[#This Row],[BIN]]&amp;" - "&amp;Table7281822432404856[[#This Row],[CAID]]</f>
        <v xml:space="preserve"> -  - </v>
      </c>
      <c r="N216" s="90"/>
    </row>
    <row r="217" spans="8:14" x14ac:dyDescent="0.25">
      <c r="H217" s="91"/>
      <c r="I217" s="91"/>
      <c r="J217" s="97"/>
      <c r="K217" s="79"/>
      <c r="L217" s="79"/>
      <c r="M217" s="79" t="str">
        <f>Table7281822432404856[[#This Row],[DBA]]&amp;" - "&amp;Table7281822432404856[[#This Row],[BIN]]&amp;" - "&amp;Table7281822432404856[[#This Row],[CAID]]</f>
        <v xml:space="preserve"> -  - </v>
      </c>
      <c r="N217" s="90"/>
    </row>
    <row r="218" spans="8:14" x14ac:dyDescent="0.25">
      <c r="H218" s="91"/>
      <c r="I218" s="91"/>
      <c r="J218" s="97"/>
      <c r="K218" s="79"/>
      <c r="L218" s="79"/>
      <c r="M218" s="79" t="str">
        <f>Table7281822432404856[[#This Row],[DBA]]&amp;" - "&amp;Table7281822432404856[[#This Row],[BIN]]&amp;" - "&amp;Table7281822432404856[[#This Row],[CAID]]</f>
        <v xml:space="preserve"> -  - </v>
      </c>
      <c r="N218" s="90"/>
    </row>
    <row r="219" spans="8:14" x14ac:dyDescent="0.25">
      <c r="H219" s="91"/>
      <c r="I219" s="91"/>
      <c r="J219" s="97"/>
      <c r="K219" s="79"/>
      <c r="L219" s="79"/>
      <c r="M219" s="79" t="str">
        <f>Table7281822432404856[[#This Row],[DBA]]&amp;" - "&amp;Table7281822432404856[[#This Row],[BIN]]&amp;" - "&amp;Table7281822432404856[[#This Row],[CAID]]</f>
        <v xml:space="preserve"> -  - </v>
      </c>
      <c r="N219" s="90"/>
    </row>
    <row r="220" spans="8:14" x14ac:dyDescent="0.25">
      <c r="H220" s="91"/>
      <c r="I220" s="91"/>
      <c r="J220" s="97"/>
      <c r="K220" s="79"/>
      <c r="L220" s="79"/>
      <c r="M220" s="79" t="str">
        <f>Table7281822432404856[[#This Row],[DBA]]&amp;" - "&amp;Table7281822432404856[[#This Row],[BIN]]&amp;" - "&amp;Table7281822432404856[[#This Row],[CAID]]</f>
        <v xml:space="preserve"> -  - </v>
      </c>
      <c r="N220" s="90"/>
    </row>
    <row r="221" spans="8:14" x14ac:dyDescent="0.25">
      <c r="H221" s="91"/>
      <c r="I221" s="91"/>
      <c r="J221" s="97"/>
      <c r="K221" s="79"/>
      <c r="L221" s="79"/>
      <c r="M221" s="79" t="str">
        <f>Table7281822432404856[[#This Row],[DBA]]&amp;" - "&amp;Table7281822432404856[[#This Row],[BIN]]&amp;" - "&amp;Table7281822432404856[[#This Row],[CAID]]</f>
        <v xml:space="preserve"> -  - </v>
      </c>
      <c r="N221" s="90"/>
    </row>
    <row r="222" spans="8:14" x14ac:dyDescent="0.25">
      <c r="H222" s="91"/>
      <c r="I222" s="91"/>
      <c r="J222" s="97"/>
      <c r="K222" s="79"/>
      <c r="L222" s="79"/>
      <c r="M222" s="79" t="str">
        <f>Table7281822432404856[[#This Row],[DBA]]&amp;" - "&amp;Table7281822432404856[[#This Row],[BIN]]&amp;" - "&amp;Table7281822432404856[[#This Row],[CAID]]</f>
        <v xml:space="preserve"> -  - </v>
      </c>
      <c r="N222" s="90"/>
    </row>
    <row r="223" spans="8:14" x14ac:dyDescent="0.25">
      <c r="H223" s="91"/>
      <c r="I223" s="91"/>
      <c r="J223" s="97"/>
      <c r="K223" s="79"/>
      <c r="L223" s="79"/>
      <c r="M223" s="79" t="str">
        <f>Table7281822432404856[[#This Row],[DBA]]&amp;" - "&amp;Table7281822432404856[[#This Row],[BIN]]&amp;" - "&amp;Table7281822432404856[[#This Row],[CAID]]</f>
        <v xml:space="preserve"> -  - </v>
      </c>
      <c r="N223" s="90"/>
    </row>
    <row r="224" spans="8:14" x14ac:dyDescent="0.25">
      <c r="H224" s="91"/>
      <c r="I224" s="91"/>
      <c r="J224" s="97"/>
      <c r="K224" s="79"/>
      <c r="L224" s="79"/>
      <c r="M224" s="79" t="str">
        <f>Table7281822432404856[[#This Row],[DBA]]&amp;" - "&amp;Table7281822432404856[[#This Row],[BIN]]&amp;" - "&amp;Table7281822432404856[[#This Row],[CAID]]</f>
        <v xml:space="preserve"> -  - </v>
      </c>
      <c r="N224" s="90"/>
    </row>
    <row r="225" spans="8:14" x14ac:dyDescent="0.25">
      <c r="H225" s="91"/>
      <c r="I225" s="91"/>
      <c r="J225" s="97"/>
      <c r="K225" s="79"/>
      <c r="L225" s="79"/>
      <c r="M225" s="79" t="str">
        <f>Table7281822432404856[[#This Row],[DBA]]&amp;" - "&amp;Table7281822432404856[[#This Row],[BIN]]&amp;" - "&amp;Table7281822432404856[[#This Row],[CAID]]</f>
        <v xml:space="preserve"> -  - </v>
      </c>
      <c r="N225" s="90"/>
    </row>
    <row r="226" spans="8:14" x14ac:dyDescent="0.25">
      <c r="H226" s="91"/>
      <c r="I226" s="91"/>
      <c r="J226" s="97"/>
      <c r="K226" s="79"/>
      <c r="L226" s="79"/>
      <c r="M226" s="79" t="str">
        <f>Table7281822432404856[[#This Row],[DBA]]&amp;" - "&amp;Table7281822432404856[[#This Row],[BIN]]&amp;" - "&amp;Table7281822432404856[[#This Row],[CAID]]</f>
        <v xml:space="preserve"> -  - </v>
      </c>
      <c r="N226" s="90"/>
    </row>
    <row r="227" spans="8:14" x14ac:dyDescent="0.25">
      <c r="H227" s="91"/>
      <c r="I227" s="91"/>
      <c r="J227" s="97"/>
      <c r="K227" s="79"/>
      <c r="L227" s="79"/>
      <c r="M227" s="79" t="str">
        <f>Table7281822432404856[[#This Row],[DBA]]&amp;" - "&amp;Table7281822432404856[[#This Row],[BIN]]&amp;" - "&amp;Table7281822432404856[[#This Row],[CAID]]</f>
        <v xml:space="preserve"> -  - </v>
      </c>
      <c r="N227" s="90"/>
    </row>
    <row r="228" spans="8:14" x14ac:dyDescent="0.25">
      <c r="H228" s="91"/>
      <c r="I228" s="91"/>
      <c r="J228" s="97"/>
      <c r="K228" s="79"/>
      <c r="L228" s="79"/>
      <c r="M228" s="79" t="str">
        <f>Table7281822432404856[[#This Row],[DBA]]&amp;" - "&amp;Table7281822432404856[[#This Row],[BIN]]&amp;" - "&amp;Table7281822432404856[[#This Row],[CAID]]</f>
        <v xml:space="preserve"> -  - </v>
      </c>
      <c r="N228" s="90"/>
    </row>
    <row r="229" spans="8:14" x14ac:dyDescent="0.25">
      <c r="H229" s="91"/>
      <c r="I229" s="91"/>
      <c r="J229" s="97"/>
      <c r="K229" s="79"/>
      <c r="L229" s="79"/>
      <c r="M229" s="79" t="str">
        <f>Table7281822432404856[[#This Row],[DBA]]&amp;" - "&amp;Table7281822432404856[[#This Row],[BIN]]&amp;" - "&amp;Table7281822432404856[[#This Row],[CAID]]</f>
        <v xml:space="preserve"> -  - </v>
      </c>
      <c r="N229" s="90"/>
    </row>
    <row r="230" spans="8:14" x14ac:dyDescent="0.25">
      <c r="H230" s="91"/>
      <c r="I230" s="91"/>
      <c r="J230" s="97"/>
      <c r="K230" s="79"/>
      <c r="L230" s="79"/>
      <c r="M230" s="79" t="str">
        <f>Table7281822432404856[[#This Row],[DBA]]&amp;" - "&amp;Table7281822432404856[[#This Row],[BIN]]&amp;" - "&amp;Table7281822432404856[[#This Row],[CAID]]</f>
        <v xml:space="preserve"> -  - </v>
      </c>
      <c r="N230" s="90"/>
    </row>
    <row r="231" spans="8:14" x14ac:dyDescent="0.25">
      <c r="H231" s="91"/>
      <c r="I231" s="91"/>
      <c r="J231" s="97"/>
      <c r="K231" s="79"/>
      <c r="L231" s="79"/>
      <c r="M231" s="79" t="str">
        <f>Table7281822432404856[[#This Row],[DBA]]&amp;" - "&amp;Table7281822432404856[[#This Row],[BIN]]&amp;" - "&amp;Table7281822432404856[[#This Row],[CAID]]</f>
        <v xml:space="preserve"> -  - </v>
      </c>
      <c r="N231" s="90"/>
    </row>
    <row r="232" spans="8:14" x14ac:dyDescent="0.25">
      <c r="H232" s="91"/>
      <c r="I232" s="91"/>
      <c r="J232" s="97"/>
      <c r="K232" s="79"/>
      <c r="L232" s="79"/>
      <c r="M232" s="79" t="str">
        <f>Table7281822432404856[[#This Row],[DBA]]&amp;" - "&amp;Table7281822432404856[[#This Row],[BIN]]&amp;" - "&amp;Table7281822432404856[[#This Row],[CAID]]</f>
        <v xml:space="preserve"> -  - </v>
      </c>
      <c r="N232" s="90"/>
    </row>
    <row r="233" spans="8:14" x14ac:dyDescent="0.25">
      <c r="H233" s="91"/>
      <c r="I233" s="91"/>
      <c r="J233" s="97"/>
      <c r="K233" s="79"/>
      <c r="L233" s="79"/>
      <c r="M233" s="79" t="str">
        <f>Table7281822432404856[[#This Row],[DBA]]&amp;" - "&amp;Table7281822432404856[[#This Row],[BIN]]&amp;" - "&amp;Table7281822432404856[[#This Row],[CAID]]</f>
        <v xml:space="preserve"> -  - </v>
      </c>
      <c r="N233" s="90"/>
    </row>
    <row r="234" spans="8:14" x14ac:dyDescent="0.25">
      <c r="H234" s="91"/>
      <c r="I234" s="91"/>
      <c r="J234" s="97"/>
      <c r="K234" s="79"/>
      <c r="L234" s="79"/>
      <c r="M234" s="79" t="str">
        <f>Table7281822432404856[[#This Row],[DBA]]&amp;" - "&amp;Table7281822432404856[[#This Row],[BIN]]&amp;" - "&amp;Table7281822432404856[[#This Row],[CAID]]</f>
        <v xml:space="preserve"> -  - </v>
      </c>
      <c r="N234" s="90"/>
    </row>
    <row r="235" spans="8:14" x14ac:dyDescent="0.25">
      <c r="H235" s="91"/>
      <c r="I235" s="91"/>
      <c r="J235" s="97"/>
      <c r="K235" s="79"/>
      <c r="L235" s="79"/>
      <c r="M235" s="79" t="str">
        <f>Table7281822432404856[[#This Row],[DBA]]&amp;" - "&amp;Table7281822432404856[[#This Row],[BIN]]&amp;" - "&amp;Table7281822432404856[[#This Row],[CAID]]</f>
        <v xml:space="preserve"> -  - </v>
      </c>
      <c r="N235" s="90"/>
    </row>
    <row r="236" spans="8:14" x14ac:dyDescent="0.25">
      <c r="H236" s="91"/>
      <c r="I236" s="91"/>
      <c r="J236" s="97"/>
      <c r="K236" s="79"/>
      <c r="L236" s="79"/>
      <c r="M236" s="79" t="str">
        <f>Table7281822432404856[[#This Row],[DBA]]&amp;" - "&amp;Table7281822432404856[[#This Row],[BIN]]&amp;" - "&amp;Table7281822432404856[[#This Row],[CAID]]</f>
        <v xml:space="preserve"> -  - </v>
      </c>
      <c r="N236" s="90"/>
    </row>
    <row r="237" spans="8:14" x14ac:dyDescent="0.25">
      <c r="H237" s="91"/>
      <c r="I237" s="91"/>
      <c r="J237" s="97"/>
      <c r="K237" s="79"/>
      <c r="L237" s="79"/>
      <c r="M237" s="79" t="str">
        <f>Table7281822432404856[[#This Row],[DBA]]&amp;" - "&amp;Table7281822432404856[[#This Row],[BIN]]&amp;" - "&amp;Table7281822432404856[[#This Row],[CAID]]</f>
        <v xml:space="preserve"> -  - </v>
      </c>
      <c r="N237" s="90"/>
    </row>
    <row r="238" spans="8:14" x14ac:dyDescent="0.25">
      <c r="H238" s="91"/>
      <c r="I238" s="91"/>
      <c r="J238" s="97"/>
      <c r="K238" s="79"/>
      <c r="L238" s="79"/>
      <c r="M238" s="79" t="str">
        <f>Table7281822432404856[[#This Row],[DBA]]&amp;" - "&amp;Table7281822432404856[[#This Row],[BIN]]&amp;" - "&amp;Table7281822432404856[[#This Row],[CAID]]</f>
        <v xml:space="preserve"> -  - </v>
      </c>
      <c r="N238" s="90"/>
    </row>
    <row r="239" spans="8:14" x14ac:dyDescent="0.25">
      <c r="H239" s="91"/>
      <c r="I239" s="91"/>
      <c r="J239" s="97"/>
      <c r="K239" s="79"/>
      <c r="L239" s="79"/>
      <c r="M239" s="79" t="str">
        <f>Table7281822432404856[[#This Row],[DBA]]&amp;" - "&amp;Table7281822432404856[[#This Row],[BIN]]&amp;" - "&amp;Table7281822432404856[[#This Row],[CAID]]</f>
        <v xml:space="preserve"> -  - </v>
      </c>
      <c r="N239" s="90"/>
    </row>
    <row r="240" spans="8:14" x14ac:dyDescent="0.25">
      <c r="H240" s="91"/>
      <c r="I240" s="91"/>
      <c r="J240" s="97"/>
      <c r="K240" s="79"/>
      <c r="L240" s="79"/>
      <c r="M240" s="79" t="str">
        <f>Table7281822432404856[[#This Row],[DBA]]&amp;" - "&amp;Table7281822432404856[[#This Row],[BIN]]&amp;" - "&amp;Table7281822432404856[[#This Row],[CAID]]</f>
        <v xml:space="preserve"> -  - </v>
      </c>
      <c r="N240" s="90"/>
    </row>
    <row r="241" spans="8:14" x14ac:dyDescent="0.25">
      <c r="H241" s="91"/>
      <c r="I241" s="91"/>
      <c r="J241" s="97"/>
      <c r="K241" s="79"/>
      <c r="L241" s="79"/>
      <c r="M241" s="79" t="str">
        <f>Table7281822432404856[[#This Row],[DBA]]&amp;" - "&amp;Table7281822432404856[[#This Row],[BIN]]&amp;" - "&amp;Table7281822432404856[[#This Row],[CAID]]</f>
        <v xml:space="preserve"> -  - </v>
      </c>
      <c r="N241" s="90"/>
    </row>
    <row r="242" spans="8:14" x14ac:dyDescent="0.25">
      <c r="H242" s="91"/>
      <c r="I242" s="91"/>
      <c r="J242" s="97"/>
      <c r="K242" s="79"/>
      <c r="L242" s="79"/>
      <c r="M242" s="79" t="str">
        <f>Table7281822432404856[[#This Row],[DBA]]&amp;" - "&amp;Table7281822432404856[[#This Row],[BIN]]&amp;" - "&amp;Table7281822432404856[[#This Row],[CAID]]</f>
        <v xml:space="preserve"> -  - </v>
      </c>
      <c r="N242" s="90"/>
    </row>
    <row r="243" spans="8:14" x14ac:dyDescent="0.25">
      <c r="H243" s="91"/>
      <c r="I243" s="91"/>
      <c r="J243" s="97"/>
      <c r="K243" s="79"/>
      <c r="L243" s="79"/>
      <c r="M243" s="79" t="str">
        <f>Table7281822432404856[[#This Row],[DBA]]&amp;" - "&amp;Table7281822432404856[[#This Row],[BIN]]&amp;" - "&amp;Table7281822432404856[[#This Row],[CAID]]</f>
        <v xml:space="preserve"> -  - </v>
      </c>
      <c r="N243" s="90"/>
    </row>
    <row r="244" spans="8:14" x14ac:dyDescent="0.25">
      <c r="H244" s="91"/>
      <c r="I244" s="91"/>
      <c r="J244" s="97"/>
      <c r="K244" s="79"/>
      <c r="L244" s="79"/>
      <c r="M244" s="79" t="str">
        <f>Table7281822432404856[[#This Row],[DBA]]&amp;" - "&amp;Table7281822432404856[[#This Row],[BIN]]&amp;" - "&amp;Table7281822432404856[[#This Row],[CAID]]</f>
        <v xml:space="preserve"> -  - </v>
      </c>
      <c r="N244" s="90"/>
    </row>
    <row r="245" spans="8:14" x14ac:dyDescent="0.25">
      <c r="H245" s="91"/>
      <c r="I245" s="91"/>
      <c r="J245" s="97"/>
      <c r="K245" s="79"/>
      <c r="L245" s="79"/>
      <c r="M245" s="79" t="str">
        <f>Table7281822432404856[[#This Row],[DBA]]&amp;" - "&amp;Table7281822432404856[[#This Row],[BIN]]&amp;" - "&amp;Table7281822432404856[[#This Row],[CAID]]</f>
        <v xml:space="preserve"> -  - </v>
      </c>
      <c r="N245" s="90"/>
    </row>
    <row r="246" spans="8:14" x14ac:dyDescent="0.25">
      <c r="H246" s="91"/>
      <c r="I246" s="91"/>
      <c r="J246" s="97"/>
      <c r="K246" s="79"/>
      <c r="L246" s="79"/>
      <c r="M246" s="79" t="str">
        <f>Table7281822432404856[[#This Row],[DBA]]&amp;" - "&amp;Table7281822432404856[[#This Row],[BIN]]&amp;" - "&amp;Table7281822432404856[[#This Row],[CAID]]</f>
        <v xml:space="preserve"> -  - </v>
      </c>
      <c r="N246" s="90"/>
    </row>
    <row r="247" spans="8:14" x14ac:dyDescent="0.25">
      <c r="H247" s="91"/>
      <c r="I247" s="91"/>
      <c r="J247" s="97"/>
      <c r="K247" s="79"/>
      <c r="L247" s="79"/>
      <c r="M247" s="79" t="str">
        <f>Table7281822432404856[[#This Row],[DBA]]&amp;" - "&amp;Table7281822432404856[[#This Row],[BIN]]&amp;" - "&amp;Table7281822432404856[[#This Row],[CAID]]</f>
        <v xml:space="preserve"> -  - </v>
      </c>
      <c r="N247" s="90"/>
    </row>
    <row r="248" spans="8:14" x14ac:dyDescent="0.25">
      <c r="H248" s="91"/>
      <c r="I248" s="91"/>
      <c r="J248" s="97"/>
      <c r="K248" s="79"/>
      <c r="L248" s="79"/>
      <c r="M248" s="79" t="str">
        <f>Table7281822432404856[[#This Row],[DBA]]&amp;" - "&amp;Table7281822432404856[[#This Row],[BIN]]&amp;" - "&amp;Table7281822432404856[[#This Row],[CAID]]</f>
        <v xml:space="preserve"> -  - </v>
      </c>
      <c r="N248" s="90"/>
    </row>
    <row r="249" spans="8:14" x14ac:dyDescent="0.25">
      <c r="H249" s="91"/>
      <c r="I249" s="91"/>
      <c r="J249" s="97"/>
      <c r="K249" s="79"/>
      <c r="L249" s="79"/>
      <c r="M249" s="79" t="str">
        <f>Table7281822432404856[[#This Row],[DBA]]&amp;" - "&amp;Table7281822432404856[[#This Row],[BIN]]&amp;" - "&amp;Table7281822432404856[[#This Row],[CAID]]</f>
        <v xml:space="preserve"> -  - </v>
      </c>
      <c r="N249" s="90"/>
    </row>
    <row r="250" spans="8:14" x14ac:dyDescent="0.25">
      <c r="H250" s="91"/>
      <c r="I250" s="91"/>
      <c r="J250" s="97"/>
      <c r="K250" s="79"/>
      <c r="L250" s="79"/>
      <c r="M250" s="79" t="str">
        <f>Table7281822432404856[[#This Row],[DBA]]&amp;" - "&amp;Table7281822432404856[[#This Row],[BIN]]&amp;" - "&amp;Table7281822432404856[[#This Row],[CAID]]</f>
        <v xml:space="preserve"> -  - </v>
      </c>
      <c r="N250" s="90"/>
    </row>
    <row r="251" spans="8:14" x14ac:dyDescent="0.25">
      <c r="H251" s="91"/>
      <c r="I251" s="91"/>
      <c r="J251" s="97"/>
      <c r="K251" s="79"/>
      <c r="L251" s="79"/>
      <c r="M251" s="79" t="str">
        <f>Table7281822432404856[[#This Row],[DBA]]&amp;" - "&amp;Table7281822432404856[[#This Row],[BIN]]&amp;" - "&amp;Table7281822432404856[[#This Row],[CAID]]</f>
        <v xml:space="preserve"> -  - </v>
      </c>
      <c r="N251" s="90"/>
    </row>
    <row r="252" spans="8:14" x14ac:dyDescent="0.25">
      <c r="H252" s="91"/>
      <c r="I252" s="91"/>
      <c r="J252" s="97"/>
      <c r="K252" s="79"/>
      <c r="L252" s="79"/>
      <c r="M252" s="79" t="str">
        <f>Table7281822432404856[[#This Row],[DBA]]&amp;" - "&amp;Table7281822432404856[[#This Row],[BIN]]&amp;" - "&amp;Table7281822432404856[[#This Row],[CAID]]</f>
        <v xml:space="preserve"> -  - </v>
      </c>
      <c r="N252" s="90"/>
    </row>
    <row r="253" spans="8:14" x14ac:dyDescent="0.25">
      <c r="H253" s="91"/>
      <c r="I253" s="91"/>
      <c r="J253" s="97"/>
      <c r="K253" s="79"/>
      <c r="L253" s="79"/>
      <c r="M253" s="79" t="str">
        <f>Table7281822432404856[[#This Row],[DBA]]&amp;" - "&amp;Table7281822432404856[[#This Row],[BIN]]&amp;" - "&amp;Table7281822432404856[[#This Row],[CAID]]</f>
        <v xml:space="preserve"> -  - </v>
      </c>
      <c r="N253" s="90"/>
    </row>
    <row r="254" spans="8:14" x14ac:dyDescent="0.25">
      <c r="H254" s="91"/>
      <c r="I254" s="91"/>
      <c r="J254" s="97"/>
      <c r="K254" s="79"/>
      <c r="L254" s="79"/>
      <c r="M254" s="79" t="str">
        <f>Table7281822432404856[[#This Row],[DBA]]&amp;" - "&amp;Table7281822432404856[[#This Row],[BIN]]&amp;" - "&amp;Table7281822432404856[[#This Row],[CAID]]</f>
        <v xml:space="preserve"> -  - </v>
      </c>
      <c r="N254" s="90"/>
    </row>
    <row r="255" spans="8:14" x14ac:dyDescent="0.25">
      <c r="H255" s="91"/>
      <c r="I255" s="91"/>
      <c r="J255" s="97"/>
      <c r="K255" s="79"/>
      <c r="L255" s="79"/>
      <c r="M255" s="79" t="str">
        <f>Table7281822432404856[[#This Row],[DBA]]&amp;" - "&amp;Table7281822432404856[[#This Row],[BIN]]&amp;" - "&amp;Table7281822432404856[[#This Row],[CAID]]</f>
        <v xml:space="preserve"> -  - </v>
      </c>
      <c r="N255" s="90"/>
    </row>
    <row r="256" spans="8:14" x14ac:dyDescent="0.25">
      <c r="H256" s="91"/>
      <c r="I256" s="91"/>
      <c r="J256" s="97"/>
      <c r="K256" s="79"/>
      <c r="L256" s="79"/>
      <c r="M256" s="79" t="str">
        <f>Table7281822432404856[[#This Row],[DBA]]&amp;" - "&amp;Table7281822432404856[[#This Row],[BIN]]&amp;" - "&amp;Table7281822432404856[[#This Row],[CAID]]</f>
        <v xml:space="preserve"> -  - </v>
      </c>
      <c r="N256" s="90"/>
    </row>
    <row r="257" spans="8:14" x14ac:dyDescent="0.25">
      <c r="H257" s="91"/>
      <c r="I257" s="91"/>
      <c r="J257" s="97"/>
      <c r="K257" s="79"/>
      <c r="L257" s="79"/>
      <c r="M257" s="79" t="str">
        <f>Table7281822432404856[[#This Row],[DBA]]&amp;" - "&amp;Table7281822432404856[[#This Row],[BIN]]&amp;" - "&amp;Table7281822432404856[[#This Row],[CAID]]</f>
        <v xml:space="preserve"> -  - </v>
      </c>
      <c r="N257" s="90"/>
    </row>
    <row r="258" spans="8:14" x14ac:dyDescent="0.25">
      <c r="H258" s="91"/>
      <c r="I258" s="91"/>
      <c r="J258" s="97"/>
      <c r="K258" s="79"/>
      <c r="L258" s="79"/>
      <c r="M258" s="79" t="str">
        <f>Table7281822432404856[[#This Row],[DBA]]&amp;" - "&amp;Table7281822432404856[[#This Row],[BIN]]&amp;" - "&amp;Table7281822432404856[[#This Row],[CAID]]</f>
        <v xml:space="preserve"> -  - </v>
      </c>
      <c r="N258" s="90"/>
    </row>
    <row r="259" spans="8:14" x14ac:dyDescent="0.25">
      <c r="H259" s="91"/>
      <c r="I259" s="91"/>
      <c r="J259" s="97"/>
      <c r="K259" s="79"/>
      <c r="L259" s="79"/>
      <c r="M259" s="79" t="str">
        <f>Table7281822432404856[[#This Row],[DBA]]&amp;" - "&amp;Table7281822432404856[[#This Row],[BIN]]&amp;" - "&amp;Table7281822432404856[[#This Row],[CAID]]</f>
        <v xml:space="preserve"> -  - </v>
      </c>
      <c r="N259" s="90"/>
    </row>
    <row r="260" spans="8:14" x14ac:dyDescent="0.25">
      <c r="H260" s="91"/>
      <c r="I260" s="91"/>
      <c r="J260" s="97"/>
      <c r="K260" s="79"/>
      <c r="L260" s="79"/>
      <c r="M260" s="79" t="str">
        <f>Table7281822432404856[[#This Row],[DBA]]&amp;" - "&amp;Table7281822432404856[[#This Row],[BIN]]&amp;" - "&amp;Table7281822432404856[[#This Row],[CAID]]</f>
        <v xml:space="preserve"> -  - </v>
      </c>
      <c r="N260" s="90"/>
    </row>
    <row r="261" spans="8:14" x14ac:dyDescent="0.25">
      <c r="H261" s="91"/>
      <c r="I261" s="91"/>
      <c r="J261" s="97"/>
      <c r="K261" s="79"/>
      <c r="L261" s="79"/>
      <c r="M261" s="79" t="str">
        <f>Table7281822432404856[[#This Row],[DBA]]&amp;" - "&amp;Table7281822432404856[[#This Row],[BIN]]&amp;" - "&amp;Table7281822432404856[[#This Row],[CAID]]</f>
        <v xml:space="preserve"> -  - </v>
      </c>
      <c r="N261" s="90"/>
    </row>
    <row r="262" spans="8:14" x14ac:dyDescent="0.25">
      <c r="H262" s="91"/>
      <c r="I262" s="91"/>
      <c r="J262" s="97"/>
      <c r="K262" s="79"/>
      <c r="L262" s="79"/>
      <c r="M262" s="79" t="str">
        <f>Table7281822432404856[[#This Row],[DBA]]&amp;" - "&amp;Table7281822432404856[[#This Row],[BIN]]&amp;" - "&amp;Table7281822432404856[[#This Row],[CAID]]</f>
        <v xml:space="preserve"> -  - </v>
      </c>
      <c r="N262" s="90"/>
    </row>
    <row r="263" spans="8:14" x14ac:dyDescent="0.25">
      <c r="H263" s="91"/>
      <c r="I263" s="91"/>
      <c r="J263" s="97"/>
      <c r="K263" s="79"/>
      <c r="L263" s="79"/>
      <c r="M263" s="79" t="str">
        <f>Table7281822432404856[[#This Row],[DBA]]&amp;" - "&amp;Table7281822432404856[[#This Row],[BIN]]&amp;" - "&amp;Table7281822432404856[[#This Row],[CAID]]</f>
        <v xml:space="preserve"> -  - </v>
      </c>
      <c r="N263" s="90"/>
    </row>
    <row r="264" spans="8:14" x14ac:dyDescent="0.25">
      <c r="H264" s="91"/>
      <c r="I264" s="91"/>
      <c r="J264" s="97"/>
      <c r="K264" s="79"/>
      <c r="L264" s="79"/>
      <c r="M264" s="79" t="str">
        <f>Table7281822432404856[[#This Row],[DBA]]&amp;" - "&amp;Table7281822432404856[[#This Row],[BIN]]&amp;" - "&amp;Table7281822432404856[[#This Row],[CAID]]</f>
        <v xml:space="preserve"> -  - </v>
      </c>
      <c r="N264" s="90"/>
    </row>
    <row r="265" spans="8:14" x14ac:dyDescent="0.25">
      <c r="H265" s="91"/>
      <c r="I265" s="91"/>
      <c r="J265" s="97"/>
      <c r="K265" s="79"/>
      <c r="L265" s="79"/>
      <c r="M265" s="79" t="str">
        <f>Table7281822432404856[[#This Row],[DBA]]&amp;" - "&amp;Table7281822432404856[[#This Row],[BIN]]&amp;" - "&amp;Table7281822432404856[[#This Row],[CAID]]</f>
        <v xml:space="preserve"> -  - </v>
      </c>
      <c r="N265" s="90"/>
    </row>
    <row r="266" spans="8:14" x14ac:dyDescent="0.25">
      <c r="H266" s="91"/>
      <c r="I266" s="91"/>
      <c r="J266" s="97"/>
      <c r="K266" s="79"/>
      <c r="L266" s="79"/>
      <c r="M266" s="79" t="str">
        <f>Table7281822432404856[[#This Row],[DBA]]&amp;" - "&amp;Table7281822432404856[[#This Row],[BIN]]&amp;" - "&amp;Table7281822432404856[[#This Row],[CAID]]</f>
        <v xml:space="preserve"> -  - </v>
      </c>
      <c r="N266" s="90"/>
    </row>
    <row r="267" spans="8:14" x14ac:dyDescent="0.25">
      <c r="H267" s="91"/>
      <c r="I267" s="91"/>
      <c r="J267" s="97"/>
      <c r="K267" s="79"/>
      <c r="L267" s="79"/>
      <c r="M267" s="79" t="str">
        <f>Table7281822432404856[[#This Row],[DBA]]&amp;" - "&amp;Table7281822432404856[[#This Row],[BIN]]&amp;" - "&amp;Table7281822432404856[[#This Row],[CAID]]</f>
        <v xml:space="preserve"> -  - </v>
      </c>
      <c r="N267" s="90"/>
    </row>
    <row r="268" spans="8:14" x14ac:dyDescent="0.25">
      <c r="H268" s="91"/>
      <c r="I268" s="91"/>
      <c r="J268" s="97"/>
      <c r="K268" s="79"/>
      <c r="L268" s="79"/>
      <c r="M268" s="79" t="str">
        <f>Table7281822432404856[[#This Row],[DBA]]&amp;" - "&amp;Table7281822432404856[[#This Row],[BIN]]&amp;" - "&amp;Table7281822432404856[[#This Row],[CAID]]</f>
        <v xml:space="preserve"> -  - </v>
      </c>
      <c r="N268" s="90"/>
    </row>
    <row r="269" spans="8:14" x14ac:dyDescent="0.25">
      <c r="H269" s="91"/>
      <c r="I269" s="91"/>
      <c r="J269" s="97"/>
      <c r="K269" s="79"/>
      <c r="L269" s="79"/>
      <c r="M269" s="79" t="str">
        <f>Table7281822432404856[[#This Row],[DBA]]&amp;" - "&amp;Table7281822432404856[[#This Row],[BIN]]&amp;" - "&amp;Table7281822432404856[[#This Row],[CAID]]</f>
        <v xml:space="preserve"> -  - </v>
      </c>
      <c r="N269" s="90"/>
    </row>
    <row r="270" spans="8:14" x14ac:dyDescent="0.25">
      <c r="H270" s="91"/>
      <c r="I270" s="91"/>
      <c r="J270" s="97"/>
      <c r="K270" s="79"/>
      <c r="L270" s="79"/>
      <c r="M270" s="79" t="str">
        <f>Table7281822432404856[[#This Row],[DBA]]&amp;" - "&amp;Table7281822432404856[[#This Row],[BIN]]&amp;" - "&amp;Table7281822432404856[[#This Row],[CAID]]</f>
        <v xml:space="preserve"> -  - </v>
      </c>
      <c r="N270" s="90"/>
    </row>
    <row r="271" spans="8:14" x14ac:dyDescent="0.25">
      <c r="H271" s="91"/>
      <c r="I271" s="91"/>
      <c r="J271" s="97"/>
      <c r="K271" s="79"/>
      <c r="L271" s="79"/>
      <c r="M271" s="79" t="str">
        <f>Table7281822432404856[[#This Row],[DBA]]&amp;" - "&amp;Table7281822432404856[[#This Row],[BIN]]&amp;" - "&amp;Table7281822432404856[[#This Row],[CAID]]</f>
        <v xml:space="preserve"> -  - </v>
      </c>
      <c r="N271" s="90"/>
    </row>
    <row r="272" spans="8:14" x14ac:dyDescent="0.25">
      <c r="H272" s="91"/>
      <c r="I272" s="91"/>
      <c r="J272" s="97"/>
      <c r="K272" s="79"/>
      <c r="L272" s="79"/>
      <c r="M272" s="79" t="str">
        <f>Table7281822432404856[[#This Row],[DBA]]&amp;" - "&amp;Table7281822432404856[[#This Row],[BIN]]&amp;" - "&amp;Table7281822432404856[[#This Row],[CAID]]</f>
        <v xml:space="preserve"> -  - </v>
      </c>
      <c r="N272" s="90"/>
    </row>
    <row r="273" spans="8:14" x14ac:dyDescent="0.25">
      <c r="H273" s="91"/>
      <c r="I273" s="91"/>
      <c r="J273" s="97"/>
      <c r="K273" s="79"/>
      <c r="L273" s="79"/>
      <c r="M273" s="79" t="str">
        <f>Table7281822432404856[[#This Row],[DBA]]&amp;" - "&amp;Table7281822432404856[[#This Row],[BIN]]&amp;" - "&amp;Table7281822432404856[[#This Row],[CAID]]</f>
        <v xml:space="preserve"> -  - </v>
      </c>
      <c r="N273" s="90"/>
    </row>
    <row r="274" spans="8:14" x14ac:dyDescent="0.25">
      <c r="H274" s="91"/>
      <c r="I274" s="91"/>
      <c r="J274" s="97"/>
      <c r="K274" s="79"/>
      <c r="L274" s="79"/>
      <c r="M274" s="79" t="str">
        <f>Table7281822432404856[[#This Row],[DBA]]&amp;" - "&amp;Table7281822432404856[[#This Row],[BIN]]&amp;" - "&amp;Table7281822432404856[[#This Row],[CAID]]</f>
        <v xml:space="preserve"> -  - </v>
      </c>
      <c r="N274" s="90"/>
    </row>
    <row r="275" spans="8:14" x14ac:dyDescent="0.25">
      <c r="H275" s="91"/>
      <c r="I275" s="91"/>
      <c r="J275" s="97"/>
      <c r="K275" s="79"/>
      <c r="L275" s="79"/>
      <c r="M275" s="79" t="str">
        <f>Table7281822432404856[[#This Row],[DBA]]&amp;" - "&amp;Table7281822432404856[[#This Row],[BIN]]&amp;" - "&amp;Table7281822432404856[[#This Row],[CAID]]</f>
        <v xml:space="preserve"> -  - </v>
      </c>
      <c r="N275" s="90"/>
    </row>
    <row r="276" spans="8:14" x14ac:dyDescent="0.25">
      <c r="H276" s="91"/>
      <c r="I276" s="91"/>
      <c r="J276" s="97"/>
      <c r="K276" s="79"/>
      <c r="L276" s="79"/>
      <c r="M276" s="79" t="str">
        <f>Table7281822432404856[[#This Row],[DBA]]&amp;" - "&amp;Table7281822432404856[[#This Row],[BIN]]&amp;" - "&amp;Table7281822432404856[[#This Row],[CAID]]</f>
        <v xml:space="preserve"> -  - </v>
      </c>
      <c r="N276" s="90"/>
    </row>
    <row r="277" spans="8:14" x14ac:dyDescent="0.25">
      <c r="H277" s="91"/>
      <c r="I277" s="91"/>
      <c r="J277" s="97"/>
      <c r="K277" s="79"/>
      <c r="L277" s="79"/>
      <c r="M277" s="79" t="str">
        <f>Table7281822432404856[[#This Row],[DBA]]&amp;" - "&amp;Table7281822432404856[[#This Row],[BIN]]&amp;" - "&amp;Table7281822432404856[[#This Row],[CAID]]</f>
        <v xml:space="preserve"> -  - </v>
      </c>
      <c r="N277" s="90"/>
    </row>
    <row r="278" spans="8:14" x14ac:dyDescent="0.25">
      <c r="H278" s="91"/>
      <c r="I278" s="91"/>
      <c r="J278" s="97"/>
      <c r="K278" s="79"/>
      <c r="L278" s="79"/>
      <c r="M278" s="79" t="str">
        <f>Table7281822432404856[[#This Row],[DBA]]&amp;" - "&amp;Table7281822432404856[[#This Row],[BIN]]&amp;" - "&amp;Table7281822432404856[[#This Row],[CAID]]</f>
        <v xml:space="preserve"> -  - </v>
      </c>
      <c r="N278" s="90"/>
    </row>
    <row r="279" spans="8:14" x14ac:dyDescent="0.25">
      <c r="H279" s="91"/>
      <c r="I279" s="91"/>
      <c r="J279" s="97"/>
      <c r="K279" s="79"/>
      <c r="L279" s="79"/>
      <c r="M279" s="79" t="str">
        <f>Table7281822432404856[[#This Row],[DBA]]&amp;" - "&amp;Table7281822432404856[[#This Row],[BIN]]&amp;" - "&amp;Table7281822432404856[[#This Row],[CAID]]</f>
        <v xml:space="preserve"> -  - </v>
      </c>
      <c r="N279" s="90"/>
    </row>
    <row r="280" spans="8:14" x14ac:dyDescent="0.25">
      <c r="H280" s="91"/>
      <c r="I280" s="91"/>
      <c r="J280" s="97"/>
      <c r="K280" s="79"/>
      <c r="L280" s="79"/>
      <c r="M280" s="79" t="str">
        <f>Table7281822432404856[[#This Row],[DBA]]&amp;" - "&amp;Table7281822432404856[[#This Row],[BIN]]&amp;" - "&amp;Table7281822432404856[[#This Row],[CAID]]</f>
        <v xml:space="preserve"> -  - </v>
      </c>
      <c r="N280" s="90"/>
    </row>
    <row r="281" spans="8:14" x14ac:dyDescent="0.25">
      <c r="H281" s="91"/>
      <c r="I281" s="91"/>
      <c r="J281" s="97"/>
      <c r="K281" s="79"/>
      <c r="L281" s="79"/>
      <c r="M281" s="79" t="str">
        <f>Table7281822432404856[[#This Row],[DBA]]&amp;" - "&amp;Table7281822432404856[[#This Row],[BIN]]&amp;" - "&amp;Table7281822432404856[[#This Row],[CAID]]</f>
        <v xml:space="preserve"> -  - </v>
      </c>
      <c r="N281" s="90"/>
    </row>
    <row r="282" spans="8:14" x14ac:dyDescent="0.25">
      <c r="H282" s="91"/>
      <c r="I282" s="91"/>
      <c r="J282" s="97"/>
      <c r="K282" s="79"/>
      <c r="L282" s="79"/>
      <c r="M282" s="79" t="str">
        <f>Table7281822432404856[[#This Row],[DBA]]&amp;" - "&amp;Table7281822432404856[[#This Row],[BIN]]&amp;" - "&amp;Table7281822432404856[[#This Row],[CAID]]</f>
        <v xml:space="preserve"> -  - </v>
      </c>
      <c r="N282" s="90"/>
    </row>
    <row r="283" spans="8:14" x14ac:dyDescent="0.25">
      <c r="H283" s="91"/>
      <c r="I283" s="91"/>
      <c r="J283" s="97"/>
      <c r="K283" s="79"/>
      <c r="L283" s="79"/>
      <c r="M283" s="79" t="str">
        <f>Table7281822432404856[[#This Row],[DBA]]&amp;" - "&amp;Table7281822432404856[[#This Row],[BIN]]&amp;" - "&amp;Table7281822432404856[[#This Row],[CAID]]</f>
        <v xml:space="preserve"> -  - </v>
      </c>
      <c r="N283" s="90"/>
    </row>
    <row r="284" spans="8:14" x14ac:dyDescent="0.25">
      <c r="H284" s="91"/>
      <c r="I284" s="91"/>
      <c r="J284" s="97"/>
      <c r="K284" s="79"/>
      <c r="L284" s="79"/>
      <c r="M284" s="79" t="str">
        <f>Table7281822432404856[[#This Row],[DBA]]&amp;" - "&amp;Table7281822432404856[[#This Row],[BIN]]&amp;" - "&amp;Table7281822432404856[[#This Row],[CAID]]</f>
        <v xml:space="preserve"> -  - </v>
      </c>
      <c r="N284" s="90"/>
    </row>
    <row r="285" spans="8:14" x14ac:dyDescent="0.25">
      <c r="H285" s="91"/>
      <c r="I285" s="91"/>
      <c r="J285" s="97"/>
      <c r="K285" s="79"/>
      <c r="L285" s="79"/>
      <c r="M285" s="79" t="str">
        <f>Table7281822432404856[[#This Row],[DBA]]&amp;" - "&amp;Table7281822432404856[[#This Row],[BIN]]&amp;" - "&amp;Table7281822432404856[[#This Row],[CAID]]</f>
        <v xml:space="preserve"> -  - </v>
      </c>
      <c r="N285" s="90"/>
    </row>
    <row r="286" spans="8:14" x14ac:dyDescent="0.25">
      <c r="H286" s="91"/>
      <c r="I286" s="91"/>
      <c r="J286" s="97"/>
      <c r="K286" s="79"/>
      <c r="L286" s="79"/>
      <c r="M286" s="79" t="str">
        <f>Table7281822432404856[[#This Row],[DBA]]&amp;" - "&amp;Table7281822432404856[[#This Row],[BIN]]&amp;" - "&amp;Table7281822432404856[[#This Row],[CAID]]</f>
        <v xml:space="preserve"> -  - </v>
      </c>
      <c r="N286" s="90"/>
    </row>
    <row r="287" spans="8:14" x14ac:dyDescent="0.25">
      <c r="H287" s="91"/>
      <c r="I287" s="91"/>
      <c r="J287" s="97"/>
      <c r="K287" s="79"/>
      <c r="L287" s="79"/>
      <c r="M287" s="79" t="str">
        <f>Table7281822432404856[[#This Row],[DBA]]&amp;" - "&amp;Table7281822432404856[[#This Row],[BIN]]&amp;" - "&amp;Table7281822432404856[[#This Row],[CAID]]</f>
        <v xml:space="preserve"> -  - </v>
      </c>
      <c r="N287" s="90"/>
    </row>
    <row r="288" spans="8:14" x14ac:dyDescent="0.25">
      <c r="H288" s="91"/>
      <c r="I288" s="91"/>
      <c r="J288" s="97"/>
      <c r="K288" s="79"/>
      <c r="L288" s="79"/>
      <c r="M288" s="79" t="str">
        <f>Table7281822432404856[[#This Row],[DBA]]&amp;" - "&amp;Table7281822432404856[[#This Row],[BIN]]&amp;" - "&amp;Table7281822432404856[[#This Row],[CAID]]</f>
        <v xml:space="preserve"> -  - </v>
      </c>
      <c r="N288" s="90"/>
    </row>
    <row r="289" spans="8:14" x14ac:dyDescent="0.25">
      <c r="H289" s="91"/>
      <c r="I289" s="91"/>
      <c r="J289" s="97"/>
      <c r="K289" s="79"/>
      <c r="L289" s="79"/>
      <c r="M289" s="79" t="str">
        <f>Table7281822432404856[[#This Row],[DBA]]&amp;" - "&amp;Table7281822432404856[[#This Row],[BIN]]&amp;" - "&amp;Table7281822432404856[[#This Row],[CAID]]</f>
        <v xml:space="preserve"> -  - </v>
      </c>
      <c r="N289" s="90"/>
    </row>
    <row r="290" spans="8:14" x14ac:dyDescent="0.25">
      <c r="H290" s="91"/>
      <c r="I290" s="91"/>
      <c r="J290" s="97"/>
      <c r="K290" s="79"/>
      <c r="L290" s="79"/>
      <c r="M290" s="79" t="str">
        <f>Table7281822432404856[[#This Row],[DBA]]&amp;" - "&amp;Table7281822432404856[[#This Row],[BIN]]&amp;" - "&amp;Table7281822432404856[[#This Row],[CAID]]</f>
        <v xml:space="preserve"> -  - </v>
      </c>
      <c r="N290" s="90"/>
    </row>
    <row r="291" spans="8:14" x14ac:dyDescent="0.25">
      <c r="H291" s="91"/>
      <c r="I291" s="91"/>
      <c r="J291" s="97"/>
      <c r="K291" s="79"/>
      <c r="L291" s="79"/>
      <c r="M291" s="79" t="str">
        <f>Table7281822432404856[[#This Row],[DBA]]&amp;" - "&amp;Table7281822432404856[[#This Row],[BIN]]&amp;" - "&amp;Table7281822432404856[[#This Row],[CAID]]</f>
        <v xml:space="preserve"> -  - </v>
      </c>
      <c r="N291" s="90"/>
    </row>
    <row r="292" spans="8:14" x14ac:dyDescent="0.25">
      <c r="H292" s="91"/>
      <c r="I292" s="91"/>
      <c r="J292" s="97"/>
      <c r="K292" s="79"/>
      <c r="L292" s="79"/>
      <c r="M292" s="79" t="str">
        <f>Table7281822432404856[[#This Row],[DBA]]&amp;" - "&amp;Table7281822432404856[[#This Row],[BIN]]&amp;" - "&amp;Table7281822432404856[[#This Row],[CAID]]</f>
        <v xml:space="preserve"> -  - </v>
      </c>
      <c r="N292" s="90"/>
    </row>
    <row r="293" spans="8:14" x14ac:dyDescent="0.25">
      <c r="H293" s="91"/>
      <c r="I293" s="91"/>
      <c r="J293" s="97"/>
      <c r="K293" s="79"/>
      <c r="L293" s="79"/>
      <c r="M293" s="79" t="str">
        <f>Table7281822432404856[[#This Row],[DBA]]&amp;" - "&amp;Table7281822432404856[[#This Row],[BIN]]&amp;" - "&amp;Table7281822432404856[[#This Row],[CAID]]</f>
        <v xml:space="preserve"> -  - </v>
      </c>
      <c r="N293" s="90"/>
    </row>
    <row r="294" spans="8:14" x14ac:dyDescent="0.25">
      <c r="H294" s="91"/>
      <c r="I294" s="91"/>
      <c r="J294" s="97"/>
      <c r="K294" s="79"/>
      <c r="L294" s="79"/>
      <c r="M294" s="79" t="str">
        <f>Table7281822432404856[[#This Row],[DBA]]&amp;" - "&amp;Table7281822432404856[[#This Row],[BIN]]&amp;" - "&amp;Table7281822432404856[[#This Row],[CAID]]</f>
        <v xml:space="preserve"> -  - </v>
      </c>
      <c r="N294" s="90"/>
    </row>
    <row r="295" spans="8:14" x14ac:dyDescent="0.25">
      <c r="H295" s="91"/>
      <c r="I295" s="91"/>
      <c r="J295" s="97"/>
      <c r="K295" s="79"/>
      <c r="L295" s="79"/>
      <c r="M295" s="79" t="str">
        <f>Table7281822432404856[[#This Row],[DBA]]&amp;" - "&amp;Table7281822432404856[[#This Row],[BIN]]&amp;" - "&amp;Table7281822432404856[[#This Row],[CAID]]</f>
        <v xml:space="preserve"> -  - </v>
      </c>
      <c r="N295" s="90"/>
    </row>
    <row r="296" spans="8:14" x14ac:dyDescent="0.25">
      <c r="H296" s="91"/>
      <c r="I296" s="91"/>
      <c r="J296" s="97"/>
      <c r="K296" s="79"/>
      <c r="L296" s="79"/>
      <c r="M296" s="79" t="str">
        <f>Table7281822432404856[[#This Row],[DBA]]&amp;" - "&amp;Table7281822432404856[[#This Row],[BIN]]&amp;" - "&amp;Table7281822432404856[[#This Row],[CAID]]</f>
        <v xml:space="preserve"> -  - </v>
      </c>
      <c r="N296" s="90"/>
    </row>
    <row r="297" spans="8:14" x14ac:dyDescent="0.25">
      <c r="H297" s="91"/>
      <c r="I297" s="91"/>
      <c r="J297" s="97"/>
      <c r="K297" s="79"/>
      <c r="L297" s="79"/>
      <c r="M297" s="79" t="str">
        <f>Table7281822432404856[[#This Row],[DBA]]&amp;" - "&amp;Table7281822432404856[[#This Row],[BIN]]&amp;" - "&amp;Table7281822432404856[[#This Row],[CAID]]</f>
        <v xml:space="preserve"> -  - </v>
      </c>
      <c r="N297" s="90"/>
    </row>
    <row r="298" spans="8:14" x14ac:dyDescent="0.25">
      <c r="H298" s="91"/>
      <c r="I298" s="91"/>
      <c r="J298" s="97"/>
      <c r="K298" s="79"/>
      <c r="L298" s="79"/>
      <c r="M298" s="79" t="str">
        <f>Table7281822432404856[[#This Row],[DBA]]&amp;" - "&amp;Table7281822432404856[[#This Row],[BIN]]&amp;" - "&amp;Table7281822432404856[[#This Row],[CAID]]</f>
        <v xml:space="preserve"> -  - </v>
      </c>
      <c r="N298" s="90"/>
    </row>
    <row r="299" spans="8:14" x14ac:dyDescent="0.25">
      <c r="H299" s="91"/>
      <c r="I299" s="91"/>
      <c r="J299" s="97"/>
      <c r="K299" s="79"/>
      <c r="L299" s="79"/>
      <c r="M299" s="79" t="str">
        <f>Table7281822432404856[[#This Row],[DBA]]&amp;" - "&amp;Table7281822432404856[[#This Row],[BIN]]&amp;" - "&amp;Table7281822432404856[[#This Row],[CAID]]</f>
        <v xml:space="preserve"> -  - </v>
      </c>
      <c r="N299" s="90"/>
    </row>
    <row r="300" spans="8:14" x14ac:dyDescent="0.25">
      <c r="H300" s="91"/>
      <c r="I300" s="91"/>
      <c r="J300" s="97"/>
      <c r="K300" s="79"/>
      <c r="L300" s="79"/>
      <c r="M300" s="79" t="str">
        <f>Table7281822432404856[[#This Row],[DBA]]&amp;" - "&amp;Table7281822432404856[[#This Row],[BIN]]&amp;" - "&amp;Table7281822432404856[[#This Row],[CAID]]</f>
        <v xml:space="preserve"> -  - </v>
      </c>
      <c r="N300" s="90"/>
    </row>
    <row r="301" spans="8:14" x14ac:dyDescent="0.25">
      <c r="H301" s="91"/>
      <c r="I301" s="91"/>
      <c r="J301" s="97"/>
      <c r="K301" s="79"/>
      <c r="L301" s="79"/>
      <c r="M301" s="79" t="str">
        <f>Table7281822432404856[[#This Row],[DBA]]&amp;" - "&amp;Table7281822432404856[[#This Row],[BIN]]&amp;" - "&amp;Table7281822432404856[[#This Row],[CAID]]</f>
        <v xml:space="preserve"> -  - </v>
      </c>
      <c r="N301" s="90"/>
    </row>
    <row r="302" spans="8:14" x14ac:dyDescent="0.25">
      <c r="H302" s="91"/>
      <c r="I302" s="91"/>
      <c r="J302" s="97"/>
      <c r="K302" s="79"/>
      <c r="L302" s="79"/>
      <c r="M302" s="79" t="str">
        <f>Table7281822432404856[[#This Row],[DBA]]&amp;" - "&amp;Table7281822432404856[[#This Row],[BIN]]&amp;" - "&amp;Table7281822432404856[[#This Row],[CAID]]</f>
        <v xml:space="preserve"> -  - </v>
      </c>
      <c r="N302" s="90"/>
    </row>
    <row r="303" spans="8:14" x14ac:dyDescent="0.25">
      <c r="H303" s="91"/>
      <c r="I303" s="91"/>
      <c r="J303" s="97"/>
      <c r="K303" s="79"/>
      <c r="L303" s="79"/>
      <c r="M303" s="79" t="str">
        <f>Table7281822432404856[[#This Row],[DBA]]&amp;" - "&amp;Table7281822432404856[[#This Row],[BIN]]&amp;" - "&amp;Table7281822432404856[[#This Row],[CAID]]</f>
        <v xml:space="preserve"> -  - </v>
      </c>
      <c r="N303" s="90"/>
    </row>
    <row r="304" spans="8:14" x14ac:dyDescent="0.25">
      <c r="H304" s="91"/>
      <c r="I304" s="91"/>
      <c r="J304" s="97"/>
      <c r="K304" s="79"/>
      <c r="L304" s="79"/>
      <c r="M304" s="79" t="str">
        <f>Table7281822432404856[[#This Row],[DBA]]&amp;" - "&amp;Table7281822432404856[[#This Row],[BIN]]&amp;" - "&amp;Table7281822432404856[[#This Row],[CAID]]</f>
        <v xml:space="preserve"> -  - </v>
      </c>
      <c r="N304" s="90"/>
    </row>
    <row r="305" spans="8:14" x14ac:dyDescent="0.25">
      <c r="H305" s="91"/>
      <c r="I305" s="91"/>
      <c r="J305" s="97"/>
      <c r="K305" s="79"/>
      <c r="L305" s="79"/>
      <c r="M305" s="79" t="str">
        <f>Table7281822432404856[[#This Row],[DBA]]&amp;" - "&amp;Table7281822432404856[[#This Row],[BIN]]&amp;" - "&amp;Table7281822432404856[[#This Row],[CAID]]</f>
        <v xml:space="preserve"> -  - </v>
      </c>
      <c r="N305" s="90"/>
    </row>
    <row r="306" spans="8:14" x14ac:dyDescent="0.25">
      <c r="H306" s="92"/>
      <c r="I306" s="92"/>
      <c r="J306" s="97"/>
      <c r="K306" s="89"/>
      <c r="L306" s="89"/>
      <c r="M306" s="89" t="str">
        <f>Table7281822432404856[[#This Row],[DBA]]&amp;" - "&amp;Table7281822432404856[[#This Row],[BIN]]&amp;" - "&amp;Table7281822432404856[[#This Row],[CAID]]</f>
        <v xml:space="preserve"> -  - </v>
      </c>
      <c r="N306" s="90"/>
    </row>
  </sheetData>
  <mergeCells count="5">
    <mergeCell ref="C4:D4"/>
    <mergeCell ref="C6:D6"/>
    <mergeCell ref="H6:O6"/>
    <mergeCell ref="C2:D2"/>
    <mergeCell ref="C3:D3"/>
  </mergeCells>
  <dataValidations count="11">
    <dataValidation allowBlank="1" showInputMessage="1" showErrorMessage="1" promptTitle="Rule Name" prompt="Rule Name is the rule identifier created by the seller and made available in reporting for insight into why an RDR case_x000a_was accepted. _x000a__x000a_Keep rule names short, explicit, and clear enough to be referenced in RDR communications. _x000a__x000a_" sqref="C6:D6" xr:uid="{D7263CE7-BD8A-461A-AC86-A8B6D2D26CF6}"/>
    <dataValidation allowBlank="1" showInputMessage="1" showErrorMessage="1" promptTitle="ARN (Acquirer Reference Number)" prompt="ARN (Acquirer Reference Number)" sqref="J9:J306" xr:uid="{9D3EAFAE-D335-4402-BDB8-B16278BAE1F6}"/>
    <dataValidation allowBlank="1" showInputMessage="1" showErrorMessage="1" promptTitle="Merchant ID" prompt="This cell contains the Merchant ID for the Merchant account.  This will be populated by Verifi" sqref="N9:N306" xr:uid="{3E265CD6-AF2A-4E35-8A40-DF0E6D7B35CC}"/>
    <dataValidation allowBlank="1" showInputMessage="1" showErrorMessage="1" promptTitle="Merchant Category Code" prompt="This is the Merchant Category Code associated with the BIN/CAID" sqref="K9:K306" xr:uid="{026ED3E8-1612-4B24-A40F-D728BFF341C5}"/>
    <dataValidation type="textLength" allowBlank="1" showInputMessage="1" showErrorMessage="1" promptTitle="DBA" prompt="DBA can only be up to 20 characters" sqref="L9:L306" xr:uid="{B7C32F60-C882-43ED-8424-F3A1FE266621}">
      <formula1>0</formula1>
      <formula2>20</formula2>
    </dataValidation>
    <dataValidation allowBlank="1" showInputMessage="1" showErrorMessage="1" promptTitle="Do not change this cell" prompt="The function attached will create the merchant name.  This is for Verifi Only" sqref="M9:M306" xr:uid="{B1F6C363-F846-4F79-B989-AE27615698B7}"/>
    <dataValidation type="textLength" allowBlank="1" showInputMessage="1" showErrorMessage="1" promptTitle="CAID" prompt="CAID cannot be greater than 15 characters" sqref="I9:I306" xr:uid="{950A35E1-E7DD-4DA1-BE5D-9FCEB9811D3E}">
      <formula1>0</formula1>
      <formula2>15</formula2>
    </dataValidation>
    <dataValidation type="textLength" allowBlank="1" showInputMessage="1" showErrorMessage="1" promptTitle="BIN" prompt="The BIN has to be 6 characters only" sqref="H9:H306" xr:uid="{F1B77CB2-258F-4E76-ACCE-3BEABEA6389D}">
      <formula1>6</formula1>
      <formula2>6</formula2>
    </dataValidation>
    <dataValidation type="list" allowBlank="1" showInputMessage="1" showErrorMessage="1" sqref="B10:B11 B15 B20 B25 B30 B35 B40" xr:uid="{24448FDD-99CF-433F-B03F-52E13A5DBD1E}">
      <formula1>Rule</formula1>
    </dataValidation>
    <dataValidation type="list" allowBlank="1" showInputMessage="1" showErrorMessage="1" sqref="C15 C20 C25 C30 C35 C40 C10:C11" xr:uid="{82BE776B-4325-4B01-9A1A-EA0FE13DF549}">
      <formula1>INDIRECT(B10)</formula1>
    </dataValidation>
    <dataValidation type="list" allowBlank="1" showInputMessage="1" sqref="D15 D20 D25 D30 D35 D40 D10:D11" xr:uid="{E15175A0-9F5B-46D6-8566-BC5B14D4A779}">
      <formula1>INDIRECT(SUBSTITUTE(B10&amp;C10," ",""))</formula1>
    </dataValidation>
  </dataValidations>
  <pageMargins left="0.75" right="0.75" top="0.75" bottom="0.75" header="0.5" footer="0.5"/>
  <pageSetup orientation="portrait" r:id="rId1"/>
  <headerFooter alignWithMargins="0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A72BF-25B2-4667-A04A-B2FD7EE92993}">
  <dimension ref="B1:O306"/>
  <sheetViews>
    <sheetView showGridLines="0" workbookViewId="0">
      <selection activeCell="C2" sqref="C2:D2"/>
    </sheetView>
  </sheetViews>
  <sheetFormatPr defaultColWidth="8.77734375" defaultRowHeight="13.2" x14ac:dyDescent="0.25"/>
  <cols>
    <col min="1" max="1" width="2.21875" style="3" customWidth="1"/>
    <col min="2" max="2" width="24.77734375" style="3" bestFit="1" customWidth="1"/>
    <col min="3" max="3" width="22.77734375" style="3" customWidth="1"/>
    <col min="4" max="4" width="41.21875" style="3" bestFit="1" customWidth="1"/>
    <col min="5" max="5" width="13.21875" style="3" customWidth="1"/>
    <col min="6" max="6" width="8.77734375" style="3"/>
    <col min="7" max="7" width="14.44140625" style="3" customWidth="1"/>
    <col min="8" max="8" width="10.21875" style="3" customWidth="1"/>
    <col min="9" max="10" width="25.21875" style="3" customWidth="1"/>
    <col min="11" max="11" width="12.44140625" style="3" bestFit="1" customWidth="1"/>
    <col min="12" max="12" width="12.44140625" style="3" customWidth="1"/>
    <col min="13" max="13" width="34" style="3" bestFit="1" customWidth="1"/>
    <col min="14" max="14" width="28" style="3" customWidth="1"/>
    <col min="15" max="15" width="14.21875" style="3" bestFit="1" customWidth="1"/>
    <col min="16" max="16384" width="8.77734375" style="3"/>
  </cols>
  <sheetData>
    <row r="1" spans="2:15" ht="13.8" thickBot="1" x14ac:dyDescent="0.3"/>
    <row r="2" spans="2:15" ht="13.8" thickBot="1" x14ac:dyDescent="0.3">
      <c r="B2" s="100" t="s">
        <v>345</v>
      </c>
      <c r="C2" s="116" t="s">
        <v>347</v>
      </c>
      <c r="D2" s="117"/>
      <c r="I2" s="95"/>
      <c r="J2" s="95"/>
    </row>
    <row r="3" spans="2:15" ht="13.8" thickBot="1" x14ac:dyDescent="0.3">
      <c r="B3" s="101" t="s">
        <v>344</v>
      </c>
      <c r="C3" s="116">
        <v>11600</v>
      </c>
      <c r="D3" s="117"/>
      <c r="I3" s="95"/>
      <c r="J3" s="95"/>
    </row>
    <row r="4" spans="2:15" ht="13.8" thickBot="1" x14ac:dyDescent="0.3">
      <c r="B4" s="100" t="s">
        <v>332</v>
      </c>
      <c r="C4" s="112"/>
      <c r="D4" s="112"/>
      <c r="I4" s="95"/>
      <c r="J4" s="95"/>
    </row>
    <row r="5" spans="2:15" ht="13.8" thickBot="1" x14ac:dyDescent="0.3">
      <c r="B5" s="101" t="s">
        <v>343</v>
      </c>
      <c r="C5" s="102"/>
      <c r="D5" s="103"/>
      <c r="I5" s="95"/>
      <c r="J5" s="95"/>
    </row>
    <row r="6" spans="2:15" ht="13.8" thickBot="1" x14ac:dyDescent="0.3">
      <c r="B6" s="100" t="s">
        <v>334</v>
      </c>
      <c r="C6" s="112"/>
      <c r="D6" s="112"/>
      <c r="H6" s="113" t="s">
        <v>330</v>
      </c>
      <c r="I6" s="114"/>
      <c r="J6" s="114"/>
      <c r="K6" s="114"/>
      <c r="L6" s="114"/>
      <c r="M6" s="114"/>
      <c r="N6" s="114"/>
      <c r="O6" s="115"/>
    </row>
    <row r="7" spans="2:15" x14ac:dyDescent="0.25">
      <c r="B7" s="87"/>
      <c r="C7" s="87"/>
    </row>
    <row r="8" spans="2:15" ht="13.8" thickBot="1" x14ac:dyDescent="0.3">
      <c r="C8" s="13"/>
      <c r="H8" s="13" t="s">
        <v>84</v>
      </c>
      <c r="I8" s="13" t="s">
        <v>85</v>
      </c>
      <c r="J8" s="88" t="s">
        <v>342</v>
      </c>
      <c r="K8" s="88" t="s">
        <v>339</v>
      </c>
      <c r="L8" s="88" t="s">
        <v>333</v>
      </c>
      <c r="M8" s="93" t="s">
        <v>340</v>
      </c>
      <c r="N8" s="94" t="s">
        <v>341</v>
      </c>
    </row>
    <row r="9" spans="2:15" ht="18.75" customHeight="1" thickBot="1" x14ac:dyDescent="0.3">
      <c r="B9" s="80" t="s">
        <v>329</v>
      </c>
      <c r="C9" s="81" t="s">
        <v>64</v>
      </c>
      <c r="D9" s="82" t="s">
        <v>63</v>
      </c>
      <c r="H9" s="96"/>
      <c r="I9" s="96"/>
      <c r="J9" s="98"/>
      <c r="K9" s="99"/>
      <c r="L9" s="99"/>
      <c r="M9" s="90" t="str">
        <f>Table728182243240485664[[#This Row],[DBA]]&amp;" - "&amp;Table728182243240485664[[#This Row],[BIN]]&amp;" - "&amp;Table728182243240485664[[#This Row],[CAID]]</f>
        <v xml:space="preserve"> -  - </v>
      </c>
      <c r="N9" s="90"/>
    </row>
    <row r="10" spans="2:15" ht="13.8" thickBot="1" x14ac:dyDescent="0.3">
      <c r="B10" s="83"/>
      <c r="C10" s="84"/>
      <c r="D10" s="83"/>
      <c r="H10" s="91"/>
      <c r="I10" s="91"/>
      <c r="J10" s="97"/>
      <c r="K10" s="79"/>
      <c r="L10" s="79"/>
      <c r="M10" s="79" t="str">
        <f>Table728182243240485664[[#This Row],[DBA]]&amp;" - "&amp;Table728182243240485664[[#This Row],[BIN]]&amp;" - "&amp;Table728182243240485664[[#This Row],[CAID]]</f>
        <v xml:space="preserve"> -  - </v>
      </c>
      <c r="N10" s="90"/>
    </row>
    <row r="11" spans="2:15" x14ac:dyDescent="0.25">
      <c r="B11" s="85"/>
      <c r="C11" s="86"/>
      <c r="D11" s="85"/>
      <c r="H11" s="91"/>
      <c r="I11" s="91"/>
      <c r="J11" s="97"/>
      <c r="K11" s="79"/>
      <c r="L11" s="79"/>
      <c r="M11" s="79" t="str">
        <f>Table728182243240485664[[#This Row],[DBA]]&amp;" - "&amp;Table728182243240485664[[#This Row],[BIN]]&amp;" - "&amp;Table728182243240485664[[#This Row],[CAID]]</f>
        <v xml:space="preserve"> -  - </v>
      </c>
      <c r="N11" s="90"/>
    </row>
    <row r="12" spans="2:15" x14ac:dyDescent="0.25">
      <c r="C12" s="30" t="s">
        <v>83</v>
      </c>
      <c r="H12" s="91"/>
      <c r="I12" s="91"/>
      <c r="J12" s="97"/>
      <c r="K12" s="79"/>
      <c r="L12" s="79"/>
      <c r="M12" s="79" t="str">
        <f>Table728182243240485664[[#This Row],[DBA]]&amp;" - "&amp;Table728182243240485664[[#This Row],[BIN]]&amp;" - "&amp;Table728182243240485664[[#This Row],[CAID]]</f>
        <v xml:space="preserve"> -  - </v>
      </c>
      <c r="N12" s="90"/>
    </row>
    <row r="13" spans="2:15" ht="13.8" thickBot="1" x14ac:dyDescent="0.3">
      <c r="C13" s="29"/>
      <c r="H13" s="91"/>
      <c r="I13" s="91"/>
      <c r="J13" s="97"/>
      <c r="K13" s="79"/>
      <c r="L13" s="79"/>
      <c r="M13" s="79" t="str">
        <f>Table728182243240485664[[#This Row],[DBA]]&amp;" - "&amp;Table728182243240485664[[#This Row],[BIN]]&amp;" - "&amp;Table728182243240485664[[#This Row],[CAID]]</f>
        <v xml:space="preserve"> -  - </v>
      </c>
      <c r="N13" s="90"/>
    </row>
    <row r="14" spans="2:15" ht="13.8" thickBot="1" x14ac:dyDescent="0.3">
      <c r="B14" s="80" t="s">
        <v>329</v>
      </c>
      <c r="C14" s="81" t="s">
        <v>64</v>
      </c>
      <c r="D14" s="82" t="s">
        <v>63</v>
      </c>
      <c r="H14" s="91"/>
      <c r="I14" s="91"/>
      <c r="J14" s="97"/>
      <c r="K14" s="79"/>
      <c r="L14" s="79"/>
      <c r="M14" s="79" t="str">
        <f>Table728182243240485664[[#This Row],[DBA]]&amp;" - "&amp;Table728182243240485664[[#This Row],[BIN]]&amp;" - "&amp;Table728182243240485664[[#This Row],[CAID]]</f>
        <v xml:space="preserve"> -  - </v>
      </c>
      <c r="N14" s="90"/>
    </row>
    <row r="15" spans="2:15" ht="13.8" thickBot="1" x14ac:dyDescent="0.3">
      <c r="B15" s="83"/>
      <c r="C15" s="84"/>
      <c r="D15" s="83"/>
      <c r="H15" s="91"/>
      <c r="I15" s="91"/>
      <c r="J15" s="97"/>
      <c r="K15" s="79"/>
      <c r="L15" s="79"/>
      <c r="M15" s="79" t="str">
        <f>Table728182243240485664[[#This Row],[DBA]]&amp;" - "&amp;Table728182243240485664[[#This Row],[BIN]]&amp;" - "&amp;Table728182243240485664[[#This Row],[CAID]]</f>
        <v xml:space="preserve"> -  - </v>
      </c>
      <c r="N15" s="90"/>
    </row>
    <row r="16" spans="2:15" x14ac:dyDescent="0.25">
      <c r="H16" s="91"/>
      <c r="I16" s="91"/>
      <c r="J16" s="97"/>
      <c r="K16" s="79"/>
      <c r="L16" s="79"/>
      <c r="M16" s="79" t="str">
        <f>Table728182243240485664[[#This Row],[DBA]]&amp;" - "&amp;Table728182243240485664[[#This Row],[BIN]]&amp;" - "&amp;Table728182243240485664[[#This Row],[CAID]]</f>
        <v xml:space="preserve"> -  - </v>
      </c>
      <c r="N16" s="90"/>
    </row>
    <row r="17" spans="2:14" x14ac:dyDescent="0.25">
      <c r="C17" s="30" t="s">
        <v>83</v>
      </c>
      <c r="H17" s="91"/>
      <c r="I17" s="91"/>
      <c r="J17" s="97"/>
      <c r="K17" s="79"/>
      <c r="L17" s="79"/>
      <c r="M17" s="79" t="str">
        <f>Table728182243240485664[[#This Row],[DBA]]&amp;" - "&amp;Table728182243240485664[[#This Row],[BIN]]&amp;" - "&amp;Table728182243240485664[[#This Row],[CAID]]</f>
        <v xml:space="preserve"> -  - </v>
      </c>
      <c r="N17" s="90"/>
    </row>
    <row r="18" spans="2:14" ht="13.8" thickBot="1" x14ac:dyDescent="0.3">
      <c r="C18" s="29"/>
      <c r="H18" s="91"/>
      <c r="I18" s="91"/>
      <c r="J18" s="97"/>
      <c r="K18" s="79"/>
      <c r="L18" s="79"/>
      <c r="M18" s="79" t="str">
        <f>Table728182243240485664[[#This Row],[DBA]]&amp;" - "&amp;Table728182243240485664[[#This Row],[BIN]]&amp;" - "&amp;Table728182243240485664[[#This Row],[CAID]]</f>
        <v xml:space="preserve"> -  - </v>
      </c>
      <c r="N18" s="90"/>
    </row>
    <row r="19" spans="2:14" ht="13.8" thickBot="1" x14ac:dyDescent="0.3">
      <c r="B19" s="80" t="s">
        <v>329</v>
      </c>
      <c r="C19" s="81" t="s">
        <v>64</v>
      </c>
      <c r="D19" s="82" t="s">
        <v>63</v>
      </c>
      <c r="H19" s="91"/>
      <c r="I19" s="91"/>
      <c r="J19" s="97"/>
      <c r="K19" s="79"/>
      <c r="L19" s="79"/>
      <c r="M19" s="79" t="str">
        <f>Table728182243240485664[[#This Row],[DBA]]&amp;" - "&amp;Table728182243240485664[[#This Row],[BIN]]&amp;" - "&amp;Table728182243240485664[[#This Row],[CAID]]</f>
        <v xml:space="preserve"> -  - </v>
      </c>
      <c r="N19" s="90"/>
    </row>
    <row r="20" spans="2:14" ht="13.8" thickBot="1" x14ac:dyDescent="0.3">
      <c r="B20" s="83"/>
      <c r="C20" s="84"/>
      <c r="D20" s="83"/>
      <c r="H20" s="91"/>
      <c r="I20" s="91"/>
      <c r="J20" s="97"/>
      <c r="K20" s="79"/>
      <c r="L20" s="79"/>
      <c r="M20" s="79" t="str">
        <f>Table728182243240485664[[#This Row],[DBA]]&amp;" - "&amp;Table728182243240485664[[#This Row],[BIN]]&amp;" - "&amp;Table728182243240485664[[#This Row],[CAID]]</f>
        <v xml:space="preserve"> -  - </v>
      </c>
      <c r="N20" s="90"/>
    </row>
    <row r="21" spans="2:14" x14ac:dyDescent="0.25">
      <c r="H21" s="91"/>
      <c r="I21" s="91"/>
      <c r="J21" s="97"/>
      <c r="K21" s="79"/>
      <c r="L21" s="79"/>
      <c r="M21" s="79" t="str">
        <f>Table728182243240485664[[#This Row],[DBA]]&amp;" - "&amp;Table728182243240485664[[#This Row],[BIN]]&amp;" - "&amp;Table728182243240485664[[#This Row],[CAID]]</f>
        <v xml:space="preserve"> -  - </v>
      </c>
      <c r="N21" s="90"/>
    </row>
    <row r="22" spans="2:14" x14ac:dyDescent="0.25">
      <c r="C22" s="30" t="s">
        <v>83</v>
      </c>
      <c r="H22" s="91"/>
      <c r="I22" s="91"/>
      <c r="J22" s="97"/>
      <c r="K22" s="79"/>
      <c r="L22" s="79"/>
      <c r="M22" s="79" t="str">
        <f>Table728182243240485664[[#This Row],[DBA]]&amp;" - "&amp;Table728182243240485664[[#This Row],[BIN]]&amp;" - "&amp;Table728182243240485664[[#This Row],[CAID]]</f>
        <v xml:space="preserve"> -  - </v>
      </c>
      <c r="N22" s="90"/>
    </row>
    <row r="23" spans="2:14" ht="13.8" thickBot="1" x14ac:dyDescent="0.3">
      <c r="C23" s="29"/>
      <c r="H23" s="91"/>
      <c r="I23" s="91"/>
      <c r="J23" s="97"/>
      <c r="K23" s="79"/>
      <c r="L23" s="79"/>
      <c r="M23" s="79" t="str">
        <f>Table728182243240485664[[#This Row],[DBA]]&amp;" - "&amp;Table728182243240485664[[#This Row],[BIN]]&amp;" - "&amp;Table728182243240485664[[#This Row],[CAID]]</f>
        <v xml:space="preserve"> -  - </v>
      </c>
      <c r="N23" s="90"/>
    </row>
    <row r="24" spans="2:14" ht="13.8" thickBot="1" x14ac:dyDescent="0.3">
      <c r="B24" s="80" t="s">
        <v>329</v>
      </c>
      <c r="C24" s="81" t="s">
        <v>64</v>
      </c>
      <c r="D24" s="82" t="s">
        <v>63</v>
      </c>
      <c r="H24" s="91"/>
      <c r="I24" s="91"/>
      <c r="J24" s="97"/>
      <c r="K24" s="79"/>
      <c r="L24" s="79"/>
      <c r="M24" s="79" t="str">
        <f>Table728182243240485664[[#This Row],[DBA]]&amp;" - "&amp;Table728182243240485664[[#This Row],[BIN]]&amp;" - "&amp;Table728182243240485664[[#This Row],[CAID]]</f>
        <v xml:space="preserve"> -  - </v>
      </c>
      <c r="N24" s="90"/>
    </row>
    <row r="25" spans="2:14" ht="13.8" thickBot="1" x14ac:dyDescent="0.3">
      <c r="B25" s="83"/>
      <c r="C25" s="84"/>
      <c r="D25" s="83"/>
      <c r="H25" s="91"/>
      <c r="I25" s="91"/>
      <c r="J25" s="97"/>
      <c r="K25" s="79"/>
      <c r="L25" s="79"/>
      <c r="M25" s="79" t="str">
        <f>Table728182243240485664[[#This Row],[DBA]]&amp;" - "&amp;Table728182243240485664[[#This Row],[BIN]]&amp;" - "&amp;Table728182243240485664[[#This Row],[CAID]]</f>
        <v xml:space="preserve"> -  - </v>
      </c>
      <c r="N25" s="90"/>
    </row>
    <row r="26" spans="2:14" x14ac:dyDescent="0.25">
      <c r="H26" s="91"/>
      <c r="I26" s="91"/>
      <c r="J26" s="97"/>
      <c r="K26" s="79"/>
      <c r="L26" s="79"/>
      <c r="M26" s="79" t="str">
        <f>Table728182243240485664[[#This Row],[DBA]]&amp;" - "&amp;Table728182243240485664[[#This Row],[BIN]]&amp;" - "&amp;Table728182243240485664[[#This Row],[CAID]]</f>
        <v xml:space="preserve"> -  - </v>
      </c>
      <c r="N26" s="90"/>
    </row>
    <row r="27" spans="2:14" x14ac:dyDescent="0.25">
      <c r="C27" s="30" t="s">
        <v>83</v>
      </c>
      <c r="H27" s="91"/>
      <c r="I27" s="91"/>
      <c r="J27" s="97"/>
      <c r="K27" s="79"/>
      <c r="L27" s="79"/>
      <c r="M27" s="79" t="str">
        <f>Table728182243240485664[[#This Row],[DBA]]&amp;" - "&amp;Table728182243240485664[[#This Row],[BIN]]&amp;" - "&amp;Table728182243240485664[[#This Row],[CAID]]</f>
        <v xml:space="preserve"> -  - </v>
      </c>
      <c r="N27" s="90"/>
    </row>
    <row r="28" spans="2:14" ht="13.8" thickBot="1" x14ac:dyDescent="0.3">
      <c r="C28" s="29"/>
      <c r="H28" s="91"/>
      <c r="I28" s="91"/>
      <c r="J28" s="97"/>
      <c r="K28" s="79"/>
      <c r="L28" s="79"/>
      <c r="M28" s="79" t="str">
        <f>Table728182243240485664[[#This Row],[DBA]]&amp;" - "&amp;Table728182243240485664[[#This Row],[BIN]]&amp;" - "&amp;Table728182243240485664[[#This Row],[CAID]]</f>
        <v xml:space="preserve"> -  - </v>
      </c>
      <c r="N28" s="90"/>
    </row>
    <row r="29" spans="2:14" ht="13.8" thickBot="1" x14ac:dyDescent="0.3">
      <c r="B29" s="80" t="s">
        <v>329</v>
      </c>
      <c r="C29" s="81" t="s">
        <v>64</v>
      </c>
      <c r="D29" s="82" t="s">
        <v>63</v>
      </c>
      <c r="H29" s="91"/>
      <c r="I29" s="91"/>
      <c r="J29" s="97"/>
      <c r="K29" s="79"/>
      <c r="L29" s="79"/>
      <c r="M29" s="79" t="str">
        <f>Table728182243240485664[[#This Row],[DBA]]&amp;" - "&amp;Table728182243240485664[[#This Row],[BIN]]&amp;" - "&amp;Table728182243240485664[[#This Row],[CAID]]</f>
        <v xml:space="preserve"> -  - </v>
      </c>
      <c r="N29" s="90"/>
    </row>
    <row r="30" spans="2:14" ht="13.8" thickBot="1" x14ac:dyDescent="0.3">
      <c r="B30" s="83"/>
      <c r="C30" s="84"/>
      <c r="D30" s="83"/>
      <c r="H30" s="91"/>
      <c r="I30" s="91"/>
      <c r="J30" s="97"/>
      <c r="K30" s="79"/>
      <c r="L30" s="79"/>
      <c r="M30" s="79" t="str">
        <f>Table728182243240485664[[#This Row],[DBA]]&amp;" - "&amp;Table728182243240485664[[#This Row],[BIN]]&amp;" - "&amp;Table728182243240485664[[#This Row],[CAID]]</f>
        <v xml:space="preserve"> -  - </v>
      </c>
      <c r="N30" s="90"/>
    </row>
    <row r="31" spans="2:14" x14ac:dyDescent="0.25">
      <c r="H31" s="91"/>
      <c r="I31" s="91"/>
      <c r="J31" s="97"/>
      <c r="K31" s="79"/>
      <c r="L31" s="79"/>
      <c r="M31" s="79" t="str">
        <f>Table728182243240485664[[#This Row],[DBA]]&amp;" - "&amp;Table728182243240485664[[#This Row],[BIN]]&amp;" - "&amp;Table728182243240485664[[#This Row],[CAID]]</f>
        <v xml:space="preserve"> -  - </v>
      </c>
      <c r="N31" s="90"/>
    </row>
    <row r="32" spans="2:14" x14ac:dyDescent="0.25">
      <c r="C32" s="30" t="s">
        <v>83</v>
      </c>
      <c r="H32" s="91"/>
      <c r="I32" s="91"/>
      <c r="J32" s="97"/>
      <c r="K32" s="79"/>
      <c r="L32" s="79"/>
      <c r="M32" s="79" t="str">
        <f>Table728182243240485664[[#This Row],[DBA]]&amp;" - "&amp;Table728182243240485664[[#This Row],[BIN]]&amp;" - "&amp;Table728182243240485664[[#This Row],[CAID]]</f>
        <v xml:space="preserve"> -  - </v>
      </c>
      <c r="N32" s="90"/>
    </row>
    <row r="33" spans="2:14" ht="13.8" thickBot="1" x14ac:dyDescent="0.3">
      <c r="C33" s="29"/>
      <c r="H33" s="91"/>
      <c r="I33" s="91"/>
      <c r="J33" s="97"/>
      <c r="K33" s="79"/>
      <c r="L33" s="79"/>
      <c r="M33" s="79" t="str">
        <f>Table728182243240485664[[#This Row],[DBA]]&amp;" - "&amp;Table728182243240485664[[#This Row],[BIN]]&amp;" - "&amp;Table728182243240485664[[#This Row],[CAID]]</f>
        <v xml:space="preserve"> -  - </v>
      </c>
      <c r="N33" s="90"/>
    </row>
    <row r="34" spans="2:14" ht="13.8" thickBot="1" x14ac:dyDescent="0.3">
      <c r="B34" s="80" t="s">
        <v>329</v>
      </c>
      <c r="C34" s="81" t="s">
        <v>64</v>
      </c>
      <c r="D34" s="82" t="s">
        <v>63</v>
      </c>
      <c r="H34" s="91"/>
      <c r="I34" s="91"/>
      <c r="J34" s="97"/>
      <c r="K34" s="79"/>
      <c r="L34" s="79"/>
      <c r="M34" s="79" t="str">
        <f>Table728182243240485664[[#This Row],[DBA]]&amp;" - "&amp;Table728182243240485664[[#This Row],[BIN]]&amp;" - "&amp;Table728182243240485664[[#This Row],[CAID]]</f>
        <v xml:space="preserve"> -  - </v>
      </c>
      <c r="N34" s="90"/>
    </row>
    <row r="35" spans="2:14" ht="13.8" thickBot="1" x14ac:dyDescent="0.3">
      <c r="B35" s="83"/>
      <c r="C35" s="84"/>
      <c r="D35" s="83"/>
      <c r="H35" s="91"/>
      <c r="I35" s="91"/>
      <c r="J35" s="97"/>
      <c r="K35" s="79"/>
      <c r="L35" s="79"/>
      <c r="M35" s="79" t="str">
        <f>Table728182243240485664[[#This Row],[DBA]]&amp;" - "&amp;Table728182243240485664[[#This Row],[BIN]]&amp;" - "&amp;Table728182243240485664[[#This Row],[CAID]]</f>
        <v xml:space="preserve"> -  - </v>
      </c>
      <c r="N35" s="90"/>
    </row>
    <row r="36" spans="2:14" x14ac:dyDescent="0.25">
      <c r="H36" s="91"/>
      <c r="I36" s="91"/>
      <c r="J36" s="97"/>
      <c r="K36" s="79"/>
      <c r="L36" s="79"/>
      <c r="M36" s="79" t="str">
        <f>Table728182243240485664[[#This Row],[DBA]]&amp;" - "&amp;Table728182243240485664[[#This Row],[BIN]]&amp;" - "&amp;Table728182243240485664[[#This Row],[CAID]]</f>
        <v xml:space="preserve"> -  - </v>
      </c>
      <c r="N36" s="90"/>
    </row>
    <row r="37" spans="2:14" x14ac:dyDescent="0.25">
      <c r="C37" s="30" t="s">
        <v>83</v>
      </c>
      <c r="H37" s="91"/>
      <c r="I37" s="91"/>
      <c r="J37" s="97"/>
      <c r="K37" s="79"/>
      <c r="L37" s="79"/>
      <c r="M37" s="79" t="str">
        <f>Table728182243240485664[[#This Row],[DBA]]&amp;" - "&amp;Table728182243240485664[[#This Row],[BIN]]&amp;" - "&amp;Table728182243240485664[[#This Row],[CAID]]</f>
        <v xml:space="preserve"> -  - </v>
      </c>
      <c r="N37" s="90"/>
    </row>
    <row r="38" spans="2:14" ht="13.8" thickBot="1" x14ac:dyDescent="0.3">
      <c r="C38" s="29"/>
      <c r="H38" s="91"/>
      <c r="I38" s="91"/>
      <c r="J38" s="97"/>
      <c r="K38" s="79"/>
      <c r="L38" s="79"/>
      <c r="M38" s="79" t="str">
        <f>Table728182243240485664[[#This Row],[DBA]]&amp;" - "&amp;Table728182243240485664[[#This Row],[BIN]]&amp;" - "&amp;Table728182243240485664[[#This Row],[CAID]]</f>
        <v xml:space="preserve"> -  - </v>
      </c>
      <c r="N38" s="90"/>
    </row>
    <row r="39" spans="2:14" ht="13.8" thickBot="1" x14ac:dyDescent="0.3">
      <c r="B39" s="80" t="s">
        <v>329</v>
      </c>
      <c r="C39" s="81" t="s">
        <v>64</v>
      </c>
      <c r="D39" s="82" t="s">
        <v>63</v>
      </c>
      <c r="H39" s="91"/>
      <c r="I39" s="91"/>
      <c r="J39" s="97"/>
      <c r="K39" s="79"/>
      <c r="L39" s="79"/>
      <c r="M39" s="79" t="str">
        <f>Table728182243240485664[[#This Row],[DBA]]&amp;" - "&amp;Table728182243240485664[[#This Row],[BIN]]&amp;" - "&amp;Table728182243240485664[[#This Row],[CAID]]</f>
        <v xml:space="preserve"> -  - </v>
      </c>
      <c r="N39" s="90"/>
    </row>
    <row r="40" spans="2:14" ht="13.8" thickBot="1" x14ac:dyDescent="0.3">
      <c r="B40" s="83"/>
      <c r="C40" s="84"/>
      <c r="D40" s="83"/>
      <c r="H40" s="91"/>
      <c r="I40" s="91"/>
      <c r="J40" s="97"/>
      <c r="K40" s="89"/>
      <c r="L40" s="89"/>
      <c r="M40" s="79" t="str">
        <f>Table728182243240485664[[#This Row],[DBA]]&amp;" - "&amp;Table728182243240485664[[#This Row],[BIN]]&amp;" - "&amp;Table728182243240485664[[#This Row],[CAID]]</f>
        <v xml:space="preserve"> -  - </v>
      </c>
      <c r="N40" s="90"/>
    </row>
    <row r="41" spans="2:14" x14ac:dyDescent="0.25">
      <c r="H41" s="91"/>
      <c r="I41" s="91"/>
      <c r="J41" s="97"/>
      <c r="K41" s="79"/>
      <c r="L41" s="79"/>
      <c r="M41" s="79" t="str">
        <f>Table728182243240485664[[#This Row],[DBA]]&amp;" - "&amp;Table728182243240485664[[#This Row],[BIN]]&amp;" - "&amp;Table728182243240485664[[#This Row],[CAID]]</f>
        <v xml:space="preserve"> -  - </v>
      </c>
      <c r="N41" s="90"/>
    </row>
    <row r="42" spans="2:14" x14ac:dyDescent="0.25">
      <c r="H42" s="91"/>
      <c r="I42" s="91"/>
      <c r="J42" s="97"/>
      <c r="K42" s="79"/>
      <c r="L42" s="79"/>
      <c r="M42" s="79" t="str">
        <f>Table728182243240485664[[#This Row],[DBA]]&amp;" - "&amp;Table728182243240485664[[#This Row],[BIN]]&amp;" - "&amp;Table728182243240485664[[#This Row],[CAID]]</f>
        <v xml:space="preserve"> -  - </v>
      </c>
      <c r="N42" s="90"/>
    </row>
    <row r="43" spans="2:14" x14ac:dyDescent="0.25">
      <c r="H43" s="91"/>
      <c r="I43" s="91"/>
      <c r="J43" s="97"/>
      <c r="K43" s="79"/>
      <c r="L43" s="79"/>
      <c r="M43" s="79" t="str">
        <f>Table728182243240485664[[#This Row],[DBA]]&amp;" - "&amp;Table728182243240485664[[#This Row],[BIN]]&amp;" - "&amp;Table728182243240485664[[#This Row],[CAID]]</f>
        <v xml:space="preserve"> -  - </v>
      </c>
      <c r="N43" s="90"/>
    </row>
    <row r="44" spans="2:14" x14ac:dyDescent="0.25">
      <c r="H44" s="91"/>
      <c r="I44" s="91"/>
      <c r="J44" s="97"/>
      <c r="K44" s="79"/>
      <c r="L44" s="79"/>
      <c r="M44" s="79" t="str">
        <f>Table728182243240485664[[#This Row],[DBA]]&amp;" - "&amp;Table728182243240485664[[#This Row],[BIN]]&amp;" - "&amp;Table728182243240485664[[#This Row],[CAID]]</f>
        <v xml:space="preserve"> -  - </v>
      </c>
      <c r="N44" s="90"/>
    </row>
    <row r="45" spans="2:14" x14ac:dyDescent="0.25">
      <c r="H45" s="91"/>
      <c r="I45" s="91"/>
      <c r="J45" s="97"/>
      <c r="K45" s="79"/>
      <c r="L45" s="79"/>
      <c r="M45" s="79" t="str">
        <f>Table728182243240485664[[#This Row],[DBA]]&amp;" - "&amp;Table728182243240485664[[#This Row],[BIN]]&amp;" - "&amp;Table728182243240485664[[#This Row],[CAID]]</f>
        <v xml:space="preserve"> -  - </v>
      </c>
      <c r="N45" s="90"/>
    </row>
    <row r="46" spans="2:14" x14ac:dyDescent="0.25">
      <c r="H46" s="91"/>
      <c r="I46" s="91"/>
      <c r="J46" s="97"/>
      <c r="K46" s="79"/>
      <c r="L46" s="79"/>
      <c r="M46" s="79" t="str">
        <f>Table728182243240485664[[#This Row],[DBA]]&amp;" - "&amp;Table728182243240485664[[#This Row],[BIN]]&amp;" - "&amp;Table728182243240485664[[#This Row],[CAID]]</f>
        <v xml:space="preserve"> -  - </v>
      </c>
      <c r="N46" s="90"/>
    </row>
    <row r="47" spans="2:14" x14ac:dyDescent="0.25">
      <c r="H47" s="91"/>
      <c r="I47" s="91"/>
      <c r="J47" s="97"/>
      <c r="K47" s="79"/>
      <c r="L47" s="79"/>
      <c r="M47" s="79" t="str">
        <f>Table728182243240485664[[#This Row],[DBA]]&amp;" - "&amp;Table728182243240485664[[#This Row],[BIN]]&amp;" - "&amp;Table728182243240485664[[#This Row],[CAID]]</f>
        <v xml:space="preserve"> -  - </v>
      </c>
      <c r="N47" s="90"/>
    </row>
    <row r="48" spans="2:14" x14ac:dyDescent="0.25">
      <c r="H48" s="91"/>
      <c r="I48" s="91"/>
      <c r="J48" s="97"/>
      <c r="K48" s="79"/>
      <c r="L48" s="79"/>
      <c r="M48" s="79" t="str">
        <f>Table728182243240485664[[#This Row],[DBA]]&amp;" - "&amp;Table728182243240485664[[#This Row],[BIN]]&amp;" - "&amp;Table728182243240485664[[#This Row],[CAID]]</f>
        <v xml:space="preserve"> -  - </v>
      </c>
      <c r="N48" s="90"/>
    </row>
    <row r="49" spans="8:14" x14ac:dyDescent="0.25">
      <c r="H49" s="91"/>
      <c r="I49" s="91"/>
      <c r="J49" s="97"/>
      <c r="K49" s="79"/>
      <c r="L49" s="79"/>
      <c r="M49" s="79" t="str">
        <f>Table728182243240485664[[#This Row],[DBA]]&amp;" - "&amp;Table728182243240485664[[#This Row],[BIN]]&amp;" - "&amp;Table728182243240485664[[#This Row],[CAID]]</f>
        <v xml:space="preserve"> -  - </v>
      </c>
      <c r="N49" s="90"/>
    </row>
    <row r="50" spans="8:14" x14ac:dyDescent="0.25">
      <c r="H50" s="91"/>
      <c r="I50" s="91"/>
      <c r="J50" s="97"/>
      <c r="K50" s="79"/>
      <c r="L50" s="79"/>
      <c r="M50" s="79" t="str">
        <f>Table728182243240485664[[#This Row],[DBA]]&amp;" - "&amp;Table728182243240485664[[#This Row],[BIN]]&amp;" - "&amp;Table728182243240485664[[#This Row],[CAID]]</f>
        <v xml:space="preserve"> -  - </v>
      </c>
      <c r="N50" s="90"/>
    </row>
    <row r="51" spans="8:14" x14ac:dyDescent="0.25">
      <c r="H51" s="91"/>
      <c r="I51" s="91"/>
      <c r="J51" s="97"/>
      <c r="K51" s="79"/>
      <c r="L51" s="79"/>
      <c r="M51" s="79" t="str">
        <f>Table728182243240485664[[#This Row],[DBA]]&amp;" - "&amp;Table728182243240485664[[#This Row],[BIN]]&amp;" - "&amp;Table728182243240485664[[#This Row],[CAID]]</f>
        <v xml:space="preserve"> -  - </v>
      </c>
      <c r="N51" s="90"/>
    </row>
    <row r="52" spans="8:14" x14ac:dyDescent="0.25">
      <c r="H52" s="91"/>
      <c r="I52" s="91"/>
      <c r="J52" s="97"/>
      <c r="K52" s="79"/>
      <c r="L52" s="79"/>
      <c r="M52" s="79" t="str">
        <f>Table728182243240485664[[#This Row],[DBA]]&amp;" - "&amp;Table728182243240485664[[#This Row],[BIN]]&amp;" - "&amp;Table728182243240485664[[#This Row],[CAID]]</f>
        <v xml:space="preserve"> -  - </v>
      </c>
      <c r="N52" s="90"/>
    </row>
    <row r="53" spans="8:14" x14ac:dyDescent="0.25">
      <c r="H53" s="91"/>
      <c r="I53" s="91"/>
      <c r="J53" s="97"/>
      <c r="K53" s="79"/>
      <c r="L53" s="79"/>
      <c r="M53" s="79" t="str">
        <f>Table728182243240485664[[#This Row],[DBA]]&amp;" - "&amp;Table728182243240485664[[#This Row],[BIN]]&amp;" - "&amp;Table728182243240485664[[#This Row],[CAID]]</f>
        <v xml:space="preserve"> -  - </v>
      </c>
      <c r="N53" s="90"/>
    </row>
    <row r="54" spans="8:14" x14ac:dyDescent="0.25">
      <c r="H54" s="91"/>
      <c r="I54" s="91"/>
      <c r="J54" s="97"/>
      <c r="K54" s="79"/>
      <c r="L54" s="79"/>
      <c r="M54" s="79" t="str">
        <f>Table728182243240485664[[#This Row],[DBA]]&amp;" - "&amp;Table728182243240485664[[#This Row],[BIN]]&amp;" - "&amp;Table728182243240485664[[#This Row],[CAID]]</f>
        <v xml:space="preserve"> -  - </v>
      </c>
      <c r="N54" s="90"/>
    </row>
    <row r="55" spans="8:14" x14ac:dyDescent="0.25">
      <c r="H55" s="91"/>
      <c r="I55" s="91"/>
      <c r="J55" s="97"/>
      <c r="K55" s="79"/>
      <c r="L55" s="79"/>
      <c r="M55" s="79" t="str">
        <f>Table728182243240485664[[#This Row],[DBA]]&amp;" - "&amp;Table728182243240485664[[#This Row],[BIN]]&amp;" - "&amp;Table728182243240485664[[#This Row],[CAID]]</f>
        <v xml:space="preserve"> -  - </v>
      </c>
      <c r="N55" s="90"/>
    </row>
    <row r="56" spans="8:14" x14ac:dyDescent="0.25">
      <c r="H56" s="91"/>
      <c r="I56" s="91"/>
      <c r="J56" s="97"/>
      <c r="K56" s="79"/>
      <c r="L56" s="79"/>
      <c r="M56" s="79" t="str">
        <f>Table728182243240485664[[#This Row],[DBA]]&amp;" - "&amp;Table728182243240485664[[#This Row],[BIN]]&amp;" - "&amp;Table728182243240485664[[#This Row],[CAID]]</f>
        <v xml:space="preserve"> -  - </v>
      </c>
      <c r="N56" s="90"/>
    </row>
    <row r="57" spans="8:14" x14ac:dyDescent="0.25">
      <c r="H57" s="91"/>
      <c r="I57" s="91"/>
      <c r="J57" s="97"/>
      <c r="K57" s="79"/>
      <c r="L57" s="79"/>
      <c r="M57" s="79" t="str">
        <f>Table728182243240485664[[#This Row],[DBA]]&amp;" - "&amp;Table728182243240485664[[#This Row],[BIN]]&amp;" - "&amp;Table728182243240485664[[#This Row],[CAID]]</f>
        <v xml:space="preserve"> -  - </v>
      </c>
      <c r="N57" s="90"/>
    </row>
    <row r="58" spans="8:14" x14ac:dyDescent="0.25">
      <c r="H58" s="91"/>
      <c r="I58" s="91"/>
      <c r="J58" s="97"/>
      <c r="K58" s="79"/>
      <c r="L58" s="79"/>
      <c r="M58" s="79" t="str">
        <f>Table728182243240485664[[#This Row],[DBA]]&amp;" - "&amp;Table728182243240485664[[#This Row],[BIN]]&amp;" - "&amp;Table728182243240485664[[#This Row],[CAID]]</f>
        <v xml:space="preserve"> -  - </v>
      </c>
      <c r="N58" s="90"/>
    </row>
    <row r="59" spans="8:14" x14ac:dyDescent="0.25">
      <c r="H59" s="91"/>
      <c r="I59" s="91"/>
      <c r="J59" s="97"/>
      <c r="K59" s="79"/>
      <c r="L59" s="79"/>
      <c r="M59" s="79" t="str">
        <f>Table728182243240485664[[#This Row],[DBA]]&amp;" - "&amp;Table728182243240485664[[#This Row],[BIN]]&amp;" - "&amp;Table728182243240485664[[#This Row],[CAID]]</f>
        <v xml:space="preserve"> -  - </v>
      </c>
      <c r="N59" s="90"/>
    </row>
    <row r="60" spans="8:14" x14ac:dyDescent="0.25">
      <c r="H60" s="91"/>
      <c r="I60" s="91"/>
      <c r="J60" s="97"/>
      <c r="K60" s="79"/>
      <c r="L60" s="79"/>
      <c r="M60" s="79" t="str">
        <f>Table728182243240485664[[#This Row],[DBA]]&amp;" - "&amp;Table728182243240485664[[#This Row],[BIN]]&amp;" - "&amp;Table728182243240485664[[#This Row],[CAID]]</f>
        <v xml:space="preserve"> -  - </v>
      </c>
      <c r="N60" s="90"/>
    </row>
    <row r="61" spans="8:14" x14ac:dyDescent="0.25">
      <c r="H61" s="91"/>
      <c r="I61" s="91"/>
      <c r="J61" s="97"/>
      <c r="K61" s="79"/>
      <c r="L61" s="79"/>
      <c r="M61" s="79" t="str">
        <f>Table728182243240485664[[#This Row],[DBA]]&amp;" - "&amp;Table728182243240485664[[#This Row],[BIN]]&amp;" - "&amp;Table728182243240485664[[#This Row],[CAID]]</f>
        <v xml:space="preserve"> -  - </v>
      </c>
      <c r="N61" s="90"/>
    </row>
    <row r="62" spans="8:14" x14ac:dyDescent="0.25">
      <c r="H62" s="91"/>
      <c r="I62" s="91"/>
      <c r="J62" s="97"/>
      <c r="K62" s="79"/>
      <c r="L62" s="79"/>
      <c r="M62" s="79" t="str">
        <f>Table728182243240485664[[#This Row],[DBA]]&amp;" - "&amp;Table728182243240485664[[#This Row],[BIN]]&amp;" - "&amp;Table728182243240485664[[#This Row],[CAID]]</f>
        <v xml:space="preserve"> -  - </v>
      </c>
      <c r="N62" s="90"/>
    </row>
    <row r="63" spans="8:14" x14ac:dyDescent="0.25">
      <c r="H63" s="91"/>
      <c r="I63" s="91"/>
      <c r="J63" s="97"/>
      <c r="K63" s="79"/>
      <c r="L63" s="79"/>
      <c r="M63" s="79" t="str">
        <f>Table728182243240485664[[#This Row],[DBA]]&amp;" - "&amp;Table728182243240485664[[#This Row],[BIN]]&amp;" - "&amp;Table728182243240485664[[#This Row],[CAID]]</f>
        <v xml:space="preserve"> -  - </v>
      </c>
      <c r="N63" s="90"/>
    </row>
    <row r="64" spans="8:14" x14ac:dyDescent="0.25">
      <c r="H64" s="91"/>
      <c r="I64" s="91"/>
      <c r="J64" s="97"/>
      <c r="K64" s="79"/>
      <c r="L64" s="79"/>
      <c r="M64" s="79" t="str">
        <f>Table728182243240485664[[#This Row],[DBA]]&amp;" - "&amp;Table728182243240485664[[#This Row],[BIN]]&amp;" - "&amp;Table728182243240485664[[#This Row],[CAID]]</f>
        <v xml:space="preserve"> -  - </v>
      </c>
      <c r="N64" s="90"/>
    </row>
    <row r="65" spans="8:14" x14ac:dyDescent="0.25">
      <c r="H65" s="91"/>
      <c r="I65" s="91"/>
      <c r="J65" s="97"/>
      <c r="K65" s="79"/>
      <c r="L65" s="79"/>
      <c r="M65" s="79" t="str">
        <f>Table728182243240485664[[#This Row],[DBA]]&amp;" - "&amp;Table728182243240485664[[#This Row],[BIN]]&amp;" - "&amp;Table728182243240485664[[#This Row],[CAID]]</f>
        <v xml:space="preserve"> -  - </v>
      </c>
      <c r="N65" s="90"/>
    </row>
    <row r="66" spans="8:14" x14ac:dyDescent="0.25">
      <c r="H66" s="91"/>
      <c r="I66" s="91"/>
      <c r="J66" s="97"/>
      <c r="K66" s="79"/>
      <c r="L66" s="79"/>
      <c r="M66" s="79" t="str">
        <f>Table728182243240485664[[#This Row],[DBA]]&amp;" - "&amp;Table728182243240485664[[#This Row],[BIN]]&amp;" - "&amp;Table728182243240485664[[#This Row],[CAID]]</f>
        <v xml:space="preserve"> -  - </v>
      </c>
      <c r="N66" s="90"/>
    </row>
    <row r="67" spans="8:14" x14ac:dyDescent="0.25">
      <c r="H67" s="91"/>
      <c r="I67" s="91"/>
      <c r="J67" s="97"/>
      <c r="K67" s="79"/>
      <c r="L67" s="79"/>
      <c r="M67" s="79" t="str">
        <f>Table728182243240485664[[#This Row],[DBA]]&amp;" - "&amp;Table728182243240485664[[#This Row],[BIN]]&amp;" - "&amp;Table728182243240485664[[#This Row],[CAID]]</f>
        <v xml:space="preserve"> -  - </v>
      </c>
      <c r="N67" s="90"/>
    </row>
    <row r="68" spans="8:14" x14ac:dyDescent="0.25">
      <c r="H68" s="91"/>
      <c r="I68" s="91"/>
      <c r="J68" s="97"/>
      <c r="K68" s="79"/>
      <c r="L68" s="79"/>
      <c r="M68" s="79" t="str">
        <f>Table728182243240485664[[#This Row],[DBA]]&amp;" - "&amp;Table728182243240485664[[#This Row],[BIN]]&amp;" - "&amp;Table728182243240485664[[#This Row],[CAID]]</f>
        <v xml:space="preserve"> -  - </v>
      </c>
      <c r="N68" s="90"/>
    </row>
    <row r="69" spans="8:14" x14ac:dyDescent="0.25">
      <c r="H69" s="91"/>
      <c r="I69" s="91"/>
      <c r="J69" s="97"/>
      <c r="K69" s="79"/>
      <c r="L69" s="79"/>
      <c r="M69" s="79" t="str">
        <f>Table728182243240485664[[#This Row],[DBA]]&amp;" - "&amp;Table728182243240485664[[#This Row],[BIN]]&amp;" - "&amp;Table728182243240485664[[#This Row],[CAID]]</f>
        <v xml:space="preserve"> -  - </v>
      </c>
      <c r="N69" s="90"/>
    </row>
    <row r="70" spans="8:14" x14ac:dyDescent="0.25">
      <c r="H70" s="91"/>
      <c r="I70" s="91"/>
      <c r="J70" s="97"/>
      <c r="K70" s="79"/>
      <c r="L70" s="79"/>
      <c r="M70" s="79" t="str">
        <f>Table728182243240485664[[#This Row],[DBA]]&amp;" - "&amp;Table728182243240485664[[#This Row],[BIN]]&amp;" - "&amp;Table728182243240485664[[#This Row],[CAID]]</f>
        <v xml:space="preserve"> -  - </v>
      </c>
      <c r="N70" s="90"/>
    </row>
    <row r="71" spans="8:14" x14ac:dyDescent="0.25">
      <c r="H71" s="91"/>
      <c r="I71" s="91"/>
      <c r="J71" s="97"/>
      <c r="K71" s="79"/>
      <c r="L71" s="79"/>
      <c r="M71" s="79" t="str">
        <f>Table728182243240485664[[#This Row],[DBA]]&amp;" - "&amp;Table728182243240485664[[#This Row],[BIN]]&amp;" - "&amp;Table728182243240485664[[#This Row],[CAID]]</f>
        <v xml:space="preserve"> -  - </v>
      </c>
      <c r="N71" s="90"/>
    </row>
    <row r="72" spans="8:14" x14ac:dyDescent="0.25">
      <c r="H72" s="91"/>
      <c r="I72" s="91"/>
      <c r="J72" s="97"/>
      <c r="K72" s="79"/>
      <c r="L72" s="79"/>
      <c r="M72" s="79" t="str">
        <f>Table728182243240485664[[#This Row],[DBA]]&amp;" - "&amp;Table728182243240485664[[#This Row],[BIN]]&amp;" - "&amp;Table728182243240485664[[#This Row],[CAID]]</f>
        <v xml:space="preserve"> -  - </v>
      </c>
      <c r="N72" s="90"/>
    </row>
    <row r="73" spans="8:14" x14ac:dyDescent="0.25">
      <c r="H73" s="91"/>
      <c r="I73" s="91"/>
      <c r="J73" s="97"/>
      <c r="K73" s="79"/>
      <c r="L73" s="79"/>
      <c r="M73" s="79" t="str">
        <f>Table728182243240485664[[#This Row],[DBA]]&amp;" - "&amp;Table728182243240485664[[#This Row],[BIN]]&amp;" - "&amp;Table728182243240485664[[#This Row],[CAID]]</f>
        <v xml:space="preserve"> -  - </v>
      </c>
      <c r="N73" s="90"/>
    </row>
    <row r="74" spans="8:14" x14ac:dyDescent="0.25">
      <c r="H74" s="91"/>
      <c r="I74" s="91"/>
      <c r="J74" s="97"/>
      <c r="K74" s="79"/>
      <c r="L74" s="79"/>
      <c r="M74" s="79" t="str">
        <f>Table728182243240485664[[#This Row],[DBA]]&amp;" - "&amp;Table728182243240485664[[#This Row],[BIN]]&amp;" - "&amp;Table728182243240485664[[#This Row],[CAID]]</f>
        <v xml:space="preserve"> -  - </v>
      </c>
      <c r="N74" s="90"/>
    </row>
    <row r="75" spans="8:14" x14ac:dyDescent="0.25">
      <c r="H75" s="91"/>
      <c r="I75" s="91"/>
      <c r="J75" s="97"/>
      <c r="K75" s="79"/>
      <c r="L75" s="79"/>
      <c r="M75" s="79" t="str">
        <f>Table728182243240485664[[#This Row],[DBA]]&amp;" - "&amp;Table728182243240485664[[#This Row],[BIN]]&amp;" - "&amp;Table728182243240485664[[#This Row],[CAID]]</f>
        <v xml:space="preserve"> -  - </v>
      </c>
      <c r="N75" s="90"/>
    </row>
    <row r="76" spans="8:14" x14ac:dyDescent="0.25">
      <c r="H76" s="91"/>
      <c r="I76" s="91"/>
      <c r="J76" s="97"/>
      <c r="K76" s="79"/>
      <c r="L76" s="79"/>
      <c r="M76" s="79" t="str">
        <f>Table728182243240485664[[#This Row],[DBA]]&amp;" - "&amp;Table728182243240485664[[#This Row],[BIN]]&amp;" - "&amp;Table728182243240485664[[#This Row],[CAID]]</f>
        <v xml:space="preserve"> -  - </v>
      </c>
      <c r="N76" s="90"/>
    </row>
    <row r="77" spans="8:14" x14ac:dyDescent="0.25">
      <c r="H77" s="91"/>
      <c r="I77" s="91"/>
      <c r="J77" s="97"/>
      <c r="K77" s="79"/>
      <c r="L77" s="79"/>
      <c r="M77" s="79" t="str">
        <f>Table728182243240485664[[#This Row],[DBA]]&amp;" - "&amp;Table728182243240485664[[#This Row],[BIN]]&amp;" - "&amp;Table728182243240485664[[#This Row],[CAID]]</f>
        <v xml:space="preserve"> -  - </v>
      </c>
      <c r="N77" s="90"/>
    </row>
    <row r="78" spans="8:14" x14ac:dyDescent="0.25">
      <c r="H78" s="91"/>
      <c r="I78" s="91"/>
      <c r="J78" s="97"/>
      <c r="K78" s="79"/>
      <c r="L78" s="79"/>
      <c r="M78" s="79" t="str">
        <f>Table728182243240485664[[#This Row],[DBA]]&amp;" - "&amp;Table728182243240485664[[#This Row],[BIN]]&amp;" - "&amp;Table728182243240485664[[#This Row],[CAID]]</f>
        <v xml:space="preserve"> -  - </v>
      </c>
      <c r="N78" s="90"/>
    </row>
    <row r="79" spans="8:14" x14ac:dyDescent="0.25">
      <c r="H79" s="91"/>
      <c r="I79" s="91"/>
      <c r="J79" s="97"/>
      <c r="K79" s="79"/>
      <c r="L79" s="79"/>
      <c r="M79" s="79" t="str">
        <f>Table728182243240485664[[#This Row],[DBA]]&amp;" - "&amp;Table728182243240485664[[#This Row],[BIN]]&amp;" - "&amp;Table728182243240485664[[#This Row],[CAID]]</f>
        <v xml:space="preserve"> -  - </v>
      </c>
      <c r="N79" s="90"/>
    </row>
    <row r="80" spans="8:14" x14ac:dyDescent="0.25">
      <c r="H80" s="91"/>
      <c r="I80" s="91"/>
      <c r="J80" s="97"/>
      <c r="K80" s="79"/>
      <c r="L80" s="79"/>
      <c r="M80" s="79" t="str">
        <f>Table728182243240485664[[#This Row],[DBA]]&amp;" - "&amp;Table728182243240485664[[#This Row],[BIN]]&amp;" - "&amp;Table728182243240485664[[#This Row],[CAID]]</f>
        <v xml:space="preserve"> -  - </v>
      </c>
      <c r="N80" s="90"/>
    </row>
    <row r="81" spans="8:14" x14ac:dyDescent="0.25">
      <c r="H81" s="91"/>
      <c r="I81" s="91"/>
      <c r="J81" s="97"/>
      <c r="K81" s="79"/>
      <c r="L81" s="79"/>
      <c r="M81" s="79" t="str">
        <f>Table728182243240485664[[#This Row],[DBA]]&amp;" - "&amp;Table728182243240485664[[#This Row],[BIN]]&amp;" - "&amp;Table728182243240485664[[#This Row],[CAID]]</f>
        <v xml:space="preserve"> -  - </v>
      </c>
      <c r="N81" s="90"/>
    </row>
    <row r="82" spans="8:14" x14ac:dyDescent="0.25">
      <c r="H82" s="91"/>
      <c r="I82" s="91"/>
      <c r="J82" s="97"/>
      <c r="K82" s="79"/>
      <c r="L82" s="79"/>
      <c r="M82" s="79" t="str">
        <f>Table728182243240485664[[#This Row],[DBA]]&amp;" - "&amp;Table728182243240485664[[#This Row],[BIN]]&amp;" - "&amp;Table728182243240485664[[#This Row],[CAID]]</f>
        <v xml:space="preserve"> -  - </v>
      </c>
      <c r="N82" s="90"/>
    </row>
    <row r="83" spans="8:14" x14ac:dyDescent="0.25">
      <c r="H83" s="91"/>
      <c r="I83" s="91"/>
      <c r="J83" s="97"/>
      <c r="K83" s="79"/>
      <c r="L83" s="79"/>
      <c r="M83" s="79" t="str">
        <f>Table728182243240485664[[#This Row],[DBA]]&amp;" - "&amp;Table728182243240485664[[#This Row],[BIN]]&amp;" - "&amp;Table728182243240485664[[#This Row],[CAID]]</f>
        <v xml:space="preserve"> -  - </v>
      </c>
      <c r="N83" s="90"/>
    </row>
    <row r="84" spans="8:14" x14ac:dyDescent="0.25">
      <c r="H84" s="91"/>
      <c r="I84" s="91"/>
      <c r="J84" s="97"/>
      <c r="K84" s="79"/>
      <c r="L84" s="79"/>
      <c r="M84" s="79" t="str">
        <f>Table728182243240485664[[#This Row],[DBA]]&amp;" - "&amp;Table728182243240485664[[#This Row],[BIN]]&amp;" - "&amp;Table728182243240485664[[#This Row],[CAID]]</f>
        <v xml:space="preserve"> -  - </v>
      </c>
      <c r="N84" s="90"/>
    </row>
    <row r="85" spans="8:14" x14ac:dyDescent="0.25">
      <c r="H85" s="91"/>
      <c r="I85" s="91"/>
      <c r="J85" s="97"/>
      <c r="K85" s="79"/>
      <c r="L85" s="79"/>
      <c r="M85" s="79" t="str">
        <f>Table728182243240485664[[#This Row],[DBA]]&amp;" - "&amp;Table728182243240485664[[#This Row],[BIN]]&amp;" - "&amp;Table728182243240485664[[#This Row],[CAID]]</f>
        <v xml:space="preserve"> -  - </v>
      </c>
      <c r="N85" s="90"/>
    </row>
    <row r="86" spans="8:14" x14ac:dyDescent="0.25">
      <c r="H86" s="91"/>
      <c r="I86" s="91"/>
      <c r="J86" s="97"/>
      <c r="K86" s="79"/>
      <c r="L86" s="79"/>
      <c r="M86" s="79" t="str">
        <f>Table728182243240485664[[#This Row],[DBA]]&amp;" - "&amp;Table728182243240485664[[#This Row],[BIN]]&amp;" - "&amp;Table728182243240485664[[#This Row],[CAID]]</f>
        <v xml:space="preserve"> -  - </v>
      </c>
      <c r="N86" s="90"/>
    </row>
    <row r="87" spans="8:14" x14ac:dyDescent="0.25">
      <c r="H87" s="91"/>
      <c r="I87" s="91"/>
      <c r="J87" s="97"/>
      <c r="K87" s="79"/>
      <c r="L87" s="79"/>
      <c r="M87" s="79" t="str">
        <f>Table728182243240485664[[#This Row],[DBA]]&amp;" - "&amp;Table728182243240485664[[#This Row],[BIN]]&amp;" - "&amp;Table728182243240485664[[#This Row],[CAID]]</f>
        <v xml:space="preserve"> -  - </v>
      </c>
      <c r="N87" s="90"/>
    </row>
    <row r="88" spans="8:14" x14ac:dyDescent="0.25">
      <c r="H88" s="91"/>
      <c r="I88" s="91"/>
      <c r="J88" s="97"/>
      <c r="K88" s="79"/>
      <c r="L88" s="79"/>
      <c r="M88" s="79" t="str">
        <f>Table728182243240485664[[#This Row],[DBA]]&amp;" - "&amp;Table728182243240485664[[#This Row],[BIN]]&amp;" - "&amp;Table728182243240485664[[#This Row],[CAID]]</f>
        <v xml:space="preserve"> -  - </v>
      </c>
      <c r="N88" s="90"/>
    </row>
    <row r="89" spans="8:14" x14ac:dyDescent="0.25">
      <c r="H89" s="91"/>
      <c r="I89" s="91"/>
      <c r="J89" s="97"/>
      <c r="K89" s="79"/>
      <c r="L89" s="79"/>
      <c r="M89" s="79" t="str">
        <f>Table728182243240485664[[#This Row],[DBA]]&amp;" - "&amp;Table728182243240485664[[#This Row],[BIN]]&amp;" - "&amp;Table728182243240485664[[#This Row],[CAID]]</f>
        <v xml:space="preserve"> -  - </v>
      </c>
      <c r="N89" s="90"/>
    </row>
    <row r="90" spans="8:14" x14ac:dyDescent="0.25">
      <c r="H90" s="91"/>
      <c r="I90" s="91"/>
      <c r="J90" s="97"/>
      <c r="K90" s="79"/>
      <c r="L90" s="79"/>
      <c r="M90" s="79" t="str">
        <f>Table728182243240485664[[#This Row],[DBA]]&amp;" - "&amp;Table728182243240485664[[#This Row],[BIN]]&amp;" - "&amp;Table728182243240485664[[#This Row],[CAID]]</f>
        <v xml:space="preserve"> -  - </v>
      </c>
      <c r="N90" s="90"/>
    </row>
    <row r="91" spans="8:14" x14ac:dyDescent="0.25">
      <c r="H91" s="91"/>
      <c r="I91" s="91"/>
      <c r="J91" s="97"/>
      <c r="K91" s="79"/>
      <c r="L91" s="79"/>
      <c r="M91" s="79" t="str">
        <f>Table728182243240485664[[#This Row],[DBA]]&amp;" - "&amp;Table728182243240485664[[#This Row],[BIN]]&amp;" - "&amp;Table728182243240485664[[#This Row],[CAID]]</f>
        <v xml:space="preserve"> -  - </v>
      </c>
      <c r="N91" s="90"/>
    </row>
    <row r="92" spans="8:14" x14ac:dyDescent="0.25">
      <c r="H92" s="91"/>
      <c r="I92" s="91"/>
      <c r="J92" s="97"/>
      <c r="K92" s="79"/>
      <c r="L92" s="79"/>
      <c r="M92" s="79" t="str">
        <f>Table728182243240485664[[#This Row],[DBA]]&amp;" - "&amp;Table728182243240485664[[#This Row],[BIN]]&amp;" - "&amp;Table728182243240485664[[#This Row],[CAID]]</f>
        <v xml:space="preserve"> -  - </v>
      </c>
      <c r="N92" s="90"/>
    </row>
    <row r="93" spans="8:14" x14ac:dyDescent="0.25">
      <c r="H93" s="91"/>
      <c r="I93" s="91"/>
      <c r="J93" s="97"/>
      <c r="K93" s="79"/>
      <c r="L93" s="79"/>
      <c r="M93" s="79" t="str">
        <f>Table728182243240485664[[#This Row],[DBA]]&amp;" - "&amp;Table728182243240485664[[#This Row],[BIN]]&amp;" - "&amp;Table728182243240485664[[#This Row],[CAID]]</f>
        <v xml:space="preserve"> -  - </v>
      </c>
      <c r="N93" s="90"/>
    </row>
    <row r="94" spans="8:14" x14ac:dyDescent="0.25">
      <c r="H94" s="91"/>
      <c r="I94" s="91"/>
      <c r="J94" s="97"/>
      <c r="K94" s="79"/>
      <c r="L94" s="79"/>
      <c r="M94" s="79" t="str">
        <f>Table728182243240485664[[#This Row],[DBA]]&amp;" - "&amp;Table728182243240485664[[#This Row],[BIN]]&amp;" - "&amp;Table728182243240485664[[#This Row],[CAID]]</f>
        <v xml:space="preserve"> -  - </v>
      </c>
      <c r="N94" s="90"/>
    </row>
    <row r="95" spans="8:14" x14ac:dyDescent="0.25">
      <c r="H95" s="91"/>
      <c r="I95" s="91"/>
      <c r="J95" s="97"/>
      <c r="K95" s="79"/>
      <c r="L95" s="79"/>
      <c r="M95" s="79" t="str">
        <f>Table728182243240485664[[#This Row],[DBA]]&amp;" - "&amp;Table728182243240485664[[#This Row],[BIN]]&amp;" - "&amp;Table728182243240485664[[#This Row],[CAID]]</f>
        <v xml:space="preserve"> -  - </v>
      </c>
      <c r="N95" s="90"/>
    </row>
    <row r="96" spans="8:14" x14ac:dyDescent="0.25">
      <c r="H96" s="91"/>
      <c r="I96" s="91"/>
      <c r="J96" s="97"/>
      <c r="K96" s="79"/>
      <c r="L96" s="79"/>
      <c r="M96" s="79" t="str">
        <f>Table728182243240485664[[#This Row],[DBA]]&amp;" - "&amp;Table728182243240485664[[#This Row],[BIN]]&amp;" - "&amp;Table728182243240485664[[#This Row],[CAID]]</f>
        <v xml:space="preserve"> -  - </v>
      </c>
      <c r="N96" s="90"/>
    </row>
    <row r="97" spans="8:14" x14ac:dyDescent="0.25">
      <c r="H97" s="91"/>
      <c r="I97" s="91"/>
      <c r="J97" s="97"/>
      <c r="K97" s="79"/>
      <c r="L97" s="79"/>
      <c r="M97" s="79" t="str">
        <f>Table728182243240485664[[#This Row],[DBA]]&amp;" - "&amp;Table728182243240485664[[#This Row],[BIN]]&amp;" - "&amp;Table728182243240485664[[#This Row],[CAID]]</f>
        <v xml:space="preserve"> -  - </v>
      </c>
      <c r="N97" s="90"/>
    </row>
    <row r="98" spans="8:14" x14ac:dyDescent="0.25">
      <c r="H98" s="91"/>
      <c r="I98" s="91"/>
      <c r="J98" s="97"/>
      <c r="K98" s="79"/>
      <c r="L98" s="79"/>
      <c r="M98" s="79" t="str">
        <f>Table728182243240485664[[#This Row],[DBA]]&amp;" - "&amp;Table728182243240485664[[#This Row],[BIN]]&amp;" - "&amp;Table728182243240485664[[#This Row],[CAID]]</f>
        <v xml:space="preserve"> -  - </v>
      </c>
      <c r="N98" s="90"/>
    </row>
    <row r="99" spans="8:14" x14ac:dyDescent="0.25">
      <c r="H99" s="91"/>
      <c r="I99" s="91"/>
      <c r="J99" s="97"/>
      <c r="K99" s="79"/>
      <c r="L99" s="79"/>
      <c r="M99" s="79" t="str">
        <f>Table728182243240485664[[#This Row],[DBA]]&amp;" - "&amp;Table728182243240485664[[#This Row],[BIN]]&amp;" - "&amp;Table728182243240485664[[#This Row],[CAID]]</f>
        <v xml:space="preserve"> -  - </v>
      </c>
      <c r="N99" s="90"/>
    </row>
    <row r="100" spans="8:14" x14ac:dyDescent="0.25">
      <c r="H100" s="91"/>
      <c r="I100" s="91"/>
      <c r="J100" s="97"/>
      <c r="K100" s="79"/>
      <c r="L100" s="79"/>
      <c r="M100" s="79" t="str">
        <f>Table728182243240485664[[#This Row],[DBA]]&amp;" - "&amp;Table728182243240485664[[#This Row],[BIN]]&amp;" - "&amp;Table728182243240485664[[#This Row],[CAID]]</f>
        <v xml:space="preserve"> -  - </v>
      </c>
      <c r="N100" s="90"/>
    </row>
    <row r="101" spans="8:14" x14ac:dyDescent="0.25">
      <c r="H101" s="91"/>
      <c r="I101" s="91"/>
      <c r="J101" s="97"/>
      <c r="K101" s="79"/>
      <c r="L101" s="79"/>
      <c r="M101" s="79" t="str">
        <f>Table728182243240485664[[#This Row],[DBA]]&amp;" - "&amp;Table728182243240485664[[#This Row],[BIN]]&amp;" - "&amp;Table728182243240485664[[#This Row],[CAID]]</f>
        <v xml:space="preserve"> -  - </v>
      </c>
      <c r="N101" s="90"/>
    </row>
    <row r="102" spans="8:14" x14ac:dyDescent="0.25">
      <c r="H102" s="91"/>
      <c r="I102" s="91"/>
      <c r="J102" s="97"/>
      <c r="K102" s="79"/>
      <c r="L102" s="79"/>
      <c r="M102" s="79" t="str">
        <f>Table728182243240485664[[#This Row],[DBA]]&amp;" - "&amp;Table728182243240485664[[#This Row],[BIN]]&amp;" - "&amp;Table728182243240485664[[#This Row],[CAID]]</f>
        <v xml:space="preserve"> -  - </v>
      </c>
      <c r="N102" s="90"/>
    </row>
    <row r="103" spans="8:14" x14ac:dyDescent="0.25">
      <c r="H103" s="91"/>
      <c r="I103" s="91"/>
      <c r="J103" s="97"/>
      <c r="K103" s="79"/>
      <c r="L103" s="79"/>
      <c r="M103" s="79" t="str">
        <f>Table728182243240485664[[#This Row],[DBA]]&amp;" - "&amp;Table728182243240485664[[#This Row],[BIN]]&amp;" - "&amp;Table728182243240485664[[#This Row],[CAID]]</f>
        <v xml:space="preserve"> -  - </v>
      </c>
      <c r="N103" s="90"/>
    </row>
    <row r="104" spans="8:14" x14ac:dyDescent="0.25">
      <c r="H104" s="91"/>
      <c r="I104" s="91"/>
      <c r="J104" s="97"/>
      <c r="K104" s="79"/>
      <c r="L104" s="79"/>
      <c r="M104" s="79" t="str">
        <f>Table728182243240485664[[#This Row],[DBA]]&amp;" - "&amp;Table728182243240485664[[#This Row],[BIN]]&amp;" - "&amp;Table728182243240485664[[#This Row],[CAID]]</f>
        <v xml:space="preserve"> -  - </v>
      </c>
      <c r="N104" s="90"/>
    </row>
    <row r="105" spans="8:14" x14ac:dyDescent="0.25">
      <c r="H105" s="91"/>
      <c r="I105" s="91"/>
      <c r="J105" s="97"/>
      <c r="K105" s="79"/>
      <c r="L105" s="79"/>
      <c r="M105" s="79" t="str">
        <f>Table728182243240485664[[#This Row],[DBA]]&amp;" - "&amp;Table728182243240485664[[#This Row],[BIN]]&amp;" - "&amp;Table728182243240485664[[#This Row],[CAID]]</f>
        <v xml:space="preserve"> -  - </v>
      </c>
      <c r="N105" s="90"/>
    </row>
    <row r="106" spans="8:14" x14ac:dyDescent="0.25">
      <c r="H106" s="91"/>
      <c r="I106" s="91"/>
      <c r="J106" s="97"/>
      <c r="K106" s="79"/>
      <c r="L106" s="79"/>
      <c r="M106" s="79" t="str">
        <f>Table728182243240485664[[#This Row],[DBA]]&amp;" - "&amp;Table728182243240485664[[#This Row],[BIN]]&amp;" - "&amp;Table728182243240485664[[#This Row],[CAID]]</f>
        <v xml:space="preserve"> -  - </v>
      </c>
      <c r="N106" s="90"/>
    </row>
    <row r="107" spans="8:14" x14ac:dyDescent="0.25">
      <c r="H107" s="91"/>
      <c r="I107" s="91"/>
      <c r="J107" s="97"/>
      <c r="K107" s="79"/>
      <c r="L107" s="79"/>
      <c r="M107" s="79" t="str">
        <f>Table728182243240485664[[#This Row],[DBA]]&amp;" - "&amp;Table728182243240485664[[#This Row],[BIN]]&amp;" - "&amp;Table728182243240485664[[#This Row],[CAID]]</f>
        <v xml:space="preserve"> -  - </v>
      </c>
      <c r="N107" s="90"/>
    </row>
    <row r="108" spans="8:14" x14ac:dyDescent="0.25">
      <c r="H108" s="91"/>
      <c r="I108" s="91"/>
      <c r="J108" s="97"/>
      <c r="K108" s="79"/>
      <c r="L108" s="79"/>
      <c r="M108" s="79" t="str">
        <f>Table728182243240485664[[#This Row],[DBA]]&amp;" - "&amp;Table728182243240485664[[#This Row],[BIN]]&amp;" - "&amp;Table728182243240485664[[#This Row],[CAID]]</f>
        <v xml:space="preserve"> -  - </v>
      </c>
      <c r="N108" s="90"/>
    </row>
    <row r="109" spans="8:14" x14ac:dyDescent="0.25">
      <c r="H109" s="91"/>
      <c r="I109" s="91"/>
      <c r="J109" s="97"/>
      <c r="K109" s="79"/>
      <c r="L109" s="79"/>
      <c r="M109" s="79" t="str">
        <f>Table728182243240485664[[#This Row],[DBA]]&amp;" - "&amp;Table728182243240485664[[#This Row],[BIN]]&amp;" - "&amp;Table728182243240485664[[#This Row],[CAID]]</f>
        <v xml:space="preserve"> -  - </v>
      </c>
      <c r="N109" s="90"/>
    </row>
    <row r="110" spans="8:14" x14ac:dyDescent="0.25">
      <c r="H110" s="91"/>
      <c r="I110" s="91"/>
      <c r="J110" s="97"/>
      <c r="K110" s="79"/>
      <c r="L110" s="79"/>
      <c r="M110" s="79" t="str">
        <f>Table728182243240485664[[#This Row],[DBA]]&amp;" - "&amp;Table728182243240485664[[#This Row],[BIN]]&amp;" - "&amp;Table728182243240485664[[#This Row],[CAID]]</f>
        <v xml:space="preserve"> -  - </v>
      </c>
      <c r="N110" s="90"/>
    </row>
    <row r="111" spans="8:14" x14ac:dyDescent="0.25">
      <c r="H111" s="91"/>
      <c r="I111" s="91"/>
      <c r="J111" s="97"/>
      <c r="K111" s="79"/>
      <c r="L111" s="79"/>
      <c r="M111" s="79" t="str">
        <f>Table728182243240485664[[#This Row],[DBA]]&amp;" - "&amp;Table728182243240485664[[#This Row],[BIN]]&amp;" - "&amp;Table728182243240485664[[#This Row],[CAID]]</f>
        <v xml:space="preserve"> -  - </v>
      </c>
      <c r="N111" s="90"/>
    </row>
    <row r="112" spans="8:14" x14ac:dyDescent="0.25">
      <c r="H112" s="91"/>
      <c r="I112" s="91"/>
      <c r="J112" s="97"/>
      <c r="K112" s="79"/>
      <c r="L112" s="79"/>
      <c r="M112" s="79" t="str">
        <f>Table728182243240485664[[#This Row],[DBA]]&amp;" - "&amp;Table728182243240485664[[#This Row],[BIN]]&amp;" - "&amp;Table728182243240485664[[#This Row],[CAID]]</f>
        <v xml:space="preserve"> -  - </v>
      </c>
      <c r="N112" s="90"/>
    </row>
    <row r="113" spans="8:14" x14ac:dyDescent="0.25">
      <c r="H113" s="91"/>
      <c r="I113" s="91"/>
      <c r="J113" s="97"/>
      <c r="K113" s="79"/>
      <c r="L113" s="79"/>
      <c r="M113" s="79" t="str">
        <f>Table728182243240485664[[#This Row],[DBA]]&amp;" - "&amp;Table728182243240485664[[#This Row],[BIN]]&amp;" - "&amp;Table728182243240485664[[#This Row],[CAID]]</f>
        <v xml:space="preserve"> -  - </v>
      </c>
      <c r="N113" s="90"/>
    </row>
    <row r="114" spans="8:14" x14ac:dyDescent="0.25">
      <c r="H114" s="91"/>
      <c r="I114" s="91"/>
      <c r="J114" s="97"/>
      <c r="K114" s="79"/>
      <c r="L114" s="79"/>
      <c r="M114" s="79" t="str">
        <f>Table728182243240485664[[#This Row],[DBA]]&amp;" - "&amp;Table728182243240485664[[#This Row],[BIN]]&amp;" - "&amp;Table728182243240485664[[#This Row],[CAID]]</f>
        <v xml:space="preserve"> -  - </v>
      </c>
      <c r="N114" s="90"/>
    </row>
    <row r="115" spans="8:14" x14ac:dyDescent="0.25">
      <c r="H115" s="91"/>
      <c r="I115" s="91"/>
      <c r="J115" s="97"/>
      <c r="K115" s="79"/>
      <c r="L115" s="79"/>
      <c r="M115" s="79" t="str">
        <f>Table728182243240485664[[#This Row],[DBA]]&amp;" - "&amp;Table728182243240485664[[#This Row],[BIN]]&amp;" - "&amp;Table728182243240485664[[#This Row],[CAID]]</f>
        <v xml:space="preserve"> -  - </v>
      </c>
      <c r="N115" s="90"/>
    </row>
    <row r="116" spans="8:14" x14ac:dyDescent="0.25">
      <c r="H116" s="91"/>
      <c r="I116" s="91"/>
      <c r="J116" s="97"/>
      <c r="K116" s="79"/>
      <c r="L116" s="79"/>
      <c r="M116" s="79" t="str">
        <f>Table728182243240485664[[#This Row],[DBA]]&amp;" - "&amp;Table728182243240485664[[#This Row],[BIN]]&amp;" - "&amp;Table728182243240485664[[#This Row],[CAID]]</f>
        <v xml:space="preserve"> -  - </v>
      </c>
      <c r="N116" s="90"/>
    </row>
    <row r="117" spans="8:14" x14ac:dyDescent="0.25">
      <c r="H117" s="91"/>
      <c r="I117" s="91"/>
      <c r="J117" s="97"/>
      <c r="K117" s="79"/>
      <c r="L117" s="79"/>
      <c r="M117" s="79" t="str">
        <f>Table728182243240485664[[#This Row],[DBA]]&amp;" - "&amp;Table728182243240485664[[#This Row],[BIN]]&amp;" - "&amp;Table728182243240485664[[#This Row],[CAID]]</f>
        <v xml:space="preserve"> -  - </v>
      </c>
      <c r="N117" s="90"/>
    </row>
    <row r="118" spans="8:14" x14ac:dyDescent="0.25">
      <c r="H118" s="91"/>
      <c r="I118" s="91"/>
      <c r="J118" s="97"/>
      <c r="K118" s="79"/>
      <c r="L118" s="79"/>
      <c r="M118" s="79" t="str">
        <f>Table728182243240485664[[#This Row],[DBA]]&amp;" - "&amp;Table728182243240485664[[#This Row],[BIN]]&amp;" - "&amp;Table728182243240485664[[#This Row],[CAID]]</f>
        <v xml:space="preserve"> -  - </v>
      </c>
      <c r="N118" s="90"/>
    </row>
    <row r="119" spans="8:14" x14ac:dyDescent="0.25">
      <c r="H119" s="91"/>
      <c r="I119" s="91"/>
      <c r="J119" s="97"/>
      <c r="K119" s="79"/>
      <c r="L119" s="79"/>
      <c r="M119" s="79" t="str">
        <f>Table728182243240485664[[#This Row],[DBA]]&amp;" - "&amp;Table728182243240485664[[#This Row],[BIN]]&amp;" - "&amp;Table728182243240485664[[#This Row],[CAID]]</f>
        <v xml:space="preserve"> -  - </v>
      </c>
      <c r="N119" s="90"/>
    </row>
    <row r="120" spans="8:14" x14ac:dyDescent="0.25">
      <c r="H120" s="91"/>
      <c r="I120" s="91"/>
      <c r="J120" s="97"/>
      <c r="K120" s="79"/>
      <c r="L120" s="79"/>
      <c r="M120" s="79" t="str">
        <f>Table728182243240485664[[#This Row],[DBA]]&amp;" - "&amp;Table728182243240485664[[#This Row],[BIN]]&amp;" - "&amp;Table728182243240485664[[#This Row],[CAID]]</f>
        <v xml:space="preserve"> -  - </v>
      </c>
      <c r="N120" s="90"/>
    </row>
    <row r="121" spans="8:14" x14ac:dyDescent="0.25">
      <c r="H121" s="91"/>
      <c r="I121" s="91"/>
      <c r="J121" s="97"/>
      <c r="K121" s="79"/>
      <c r="L121" s="79"/>
      <c r="M121" s="79" t="str">
        <f>Table728182243240485664[[#This Row],[DBA]]&amp;" - "&amp;Table728182243240485664[[#This Row],[BIN]]&amp;" - "&amp;Table728182243240485664[[#This Row],[CAID]]</f>
        <v xml:space="preserve"> -  - </v>
      </c>
      <c r="N121" s="90"/>
    </row>
    <row r="122" spans="8:14" x14ac:dyDescent="0.25">
      <c r="H122" s="91"/>
      <c r="I122" s="91"/>
      <c r="J122" s="97"/>
      <c r="K122" s="79"/>
      <c r="L122" s="79"/>
      <c r="M122" s="79" t="str">
        <f>Table728182243240485664[[#This Row],[DBA]]&amp;" - "&amp;Table728182243240485664[[#This Row],[BIN]]&amp;" - "&amp;Table728182243240485664[[#This Row],[CAID]]</f>
        <v xml:space="preserve"> -  - </v>
      </c>
      <c r="N122" s="90"/>
    </row>
    <row r="123" spans="8:14" x14ac:dyDescent="0.25">
      <c r="H123" s="91"/>
      <c r="I123" s="91"/>
      <c r="J123" s="97"/>
      <c r="K123" s="79"/>
      <c r="L123" s="79"/>
      <c r="M123" s="79" t="str">
        <f>Table728182243240485664[[#This Row],[DBA]]&amp;" - "&amp;Table728182243240485664[[#This Row],[BIN]]&amp;" - "&amp;Table728182243240485664[[#This Row],[CAID]]</f>
        <v xml:space="preserve"> -  - </v>
      </c>
      <c r="N123" s="90"/>
    </row>
    <row r="124" spans="8:14" x14ac:dyDescent="0.25">
      <c r="H124" s="91"/>
      <c r="I124" s="91"/>
      <c r="J124" s="97"/>
      <c r="K124" s="79"/>
      <c r="L124" s="79"/>
      <c r="M124" s="79" t="str">
        <f>Table728182243240485664[[#This Row],[DBA]]&amp;" - "&amp;Table728182243240485664[[#This Row],[BIN]]&amp;" - "&amp;Table728182243240485664[[#This Row],[CAID]]</f>
        <v xml:space="preserve"> -  - </v>
      </c>
      <c r="N124" s="90"/>
    </row>
    <row r="125" spans="8:14" x14ac:dyDescent="0.25">
      <c r="H125" s="91"/>
      <c r="I125" s="91"/>
      <c r="J125" s="97"/>
      <c r="K125" s="79"/>
      <c r="L125" s="79"/>
      <c r="M125" s="79" t="str">
        <f>Table728182243240485664[[#This Row],[DBA]]&amp;" - "&amp;Table728182243240485664[[#This Row],[BIN]]&amp;" - "&amp;Table728182243240485664[[#This Row],[CAID]]</f>
        <v xml:space="preserve"> -  - </v>
      </c>
      <c r="N125" s="90"/>
    </row>
    <row r="126" spans="8:14" x14ac:dyDescent="0.25">
      <c r="H126" s="91"/>
      <c r="I126" s="91"/>
      <c r="J126" s="97"/>
      <c r="K126" s="79"/>
      <c r="L126" s="79"/>
      <c r="M126" s="79" t="str">
        <f>Table728182243240485664[[#This Row],[DBA]]&amp;" - "&amp;Table728182243240485664[[#This Row],[BIN]]&amp;" - "&amp;Table728182243240485664[[#This Row],[CAID]]</f>
        <v xml:space="preserve"> -  - </v>
      </c>
      <c r="N126" s="90"/>
    </row>
    <row r="127" spans="8:14" x14ac:dyDescent="0.25">
      <c r="H127" s="91"/>
      <c r="I127" s="91"/>
      <c r="J127" s="97"/>
      <c r="K127" s="79"/>
      <c r="L127" s="79"/>
      <c r="M127" s="79" t="str">
        <f>Table728182243240485664[[#This Row],[DBA]]&amp;" - "&amp;Table728182243240485664[[#This Row],[BIN]]&amp;" - "&amp;Table728182243240485664[[#This Row],[CAID]]</f>
        <v xml:space="preserve"> -  - </v>
      </c>
      <c r="N127" s="90"/>
    </row>
    <row r="128" spans="8:14" x14ac:dyDescent="0.25">
      <c r="H128" s="91"/>
      <c r="I128" s="91"/>
      <c r="J128" s="97"/>
      <c r="K128" s="79"/>
      <c r="L128" s="79"/>
      <c r="M128" s="79" t="str">
        <f>Table728182243240485664[[#This Row],[DBA]]&amp;" - "&amp;Table728182243240485664[[#This Row],[BIN]]&amp;" - "&amp;Table728182243240485664[[#This Row],[CAID]]</f>
        <v xml:space="preserve"> -  - </v>
      </c>
      <c r="N128" s="90"/>
    </row>
    <row r="129" spans="8:14" x14ac:dyDescent="0.25">
      <c r="H129" s="91"/>
      <c r="I129" s="91"/>
      <c r="J129" s="97"/>
      <c r="K129" s="79"/>
      <c r="L129" s="79"/>
      <c r="M129" s="79" t="str">
        <f>Table728182243240485664[[#This Row],[DBA]]&amp;" - "&amp;Table728182243240485664[[#This Row],[BIN]]&amp;" - "&amp;Table728182243240485664[[#This Row],[CAID]]</f>
        <v xml:space="preserve"> -  - </v>
      </c>
      <c r="N129" s="90"/>
    </row>
    <row r="130" spans="8:14" x14ac:dyDescent="0.25">
      <c r="H130" s="91"/>
      <c r="I130" s="91"/>
      <c r="J130" s="97"/>
      <c r="K130" s="79"/>
      <c r="L130" s="79"/>
      <c r="M130" s="79" t="str">
        <f>Table728182243240485664[[#This Row],[DBA]]&amp;" - "&amp;Table728182243240485664[[#This Row],[BIN]]&amp;" - "&amp;Table728182243240485664[[#This Row],[CAID]]</f>
        <v xml:space="preserve"> -  - </v>
      </c>
      <c r="N130" s="90"/>
    </row>
    <row r="131" spans="8:14" x14ac:dyDescent="0.25">
      <c r="H131" s="91"/>
      <c r="I131" s="91"/>
      <c r="J131" s="97"/>
      <c r="K131" s="79"/>
      <c r="L131" s="79"/>
      <c r="M131" s="79" t="str">
        <f>Table728182243240485664[[#This Row],[DBA]]&amp;" - "&amp;Table728182243240485664[[#This Row],[BIN]]&amp;" - "&amp;Table728182243240485664[[#This Row],[CAID]]</f>
        <v xml:space="preserve"> -  - </v>
      </c>
      <c r="N131" s="90"/>
    </row>
    <row r="132" spans="8:14" x14ac:dyDescent="0.25">
      <c r="H132" s="91"/>
      <c r="I132" s="91"/>
      <c r="J132" s="97"/>
      <c r="K132" s="79"/>
      <c r="L132" s="79"/>
      <c r="M132" s="79" t="str">
        <f>Table728182243240485664[[#This Row],[DBA]]&amp;" - "&amp;Table728182243240485664[[#This Row],[BIN]]&amp;" - "&amp;Table728182243240485664[[#This Row],[CAID]]</f>
        <v xml:space="preserve"> -  - </v>
      </c>
      <c r="N132" s="90"/>
    </row>
    <row r="133" spans="8:14" x14ac:dyDescent="0.25">
      <c r="H133" s="91"/>
      <c r="I133" s="91"/>
      <c r="J133" s="97"/>
      <c r="K133" s="79"/>
      <c r="L133" s="79"/>
      <c r="M133" s="79" t="str">
        <f>Table728182243240485664[[#This Row],[DBA]]&amp;" - "&amp;Table728182243240485664[[#This Row],[BIN]]&amp;" - "&amp;Table728182243240485664[[#This Row],[CAID]]</f>
        <v xml:space="preserve"> -  - </v>
      </c>
      <c r="N133" s="90"/>
    </row>
    <row r="134" spans="8:14" x14ac:dyDescent="0.25">
      <c r="H134" s="91"/>
      <c r="I134" s="91"/>
      <c r="J134" s="97"/>
      <c r="K134" s="79"/>
      <c r="L134" s="79"/>
      <c r="M134" s="79" t="str">
        <f>Table728182243240485664[[#This Row],[DBA]]&amp;" - "&amp;Table728182243240485664[[#This Row],[BIN]]&amp;" - "&amp;Table728182243240485664[[#This Row],[CAID]]</f>
        <v xml:space="preserve"> -  - </v>
      </c>
      <c r="N134" s="90"/>
    </row>
    <row r="135" spans="8:14" x14ac:dyDescent="0.25">
      <c r="H135" s="91"/>
      <c r="I135" s="91"/>
      <c r="J135" s="97"/>
      <c r="K135" s="79"/>
      <c r="L135" s="79"/>
      <c r="M135" s="79" t="str">
        <f>Table728182243240485664[[#This Row],[DBA]]&amp;" - "&amp;Table728182243240485664[[#This Row],[BIN]]&amp;" - "&amp;Table728182243240485664[[#This Row],[CAID]]</f>
        <v xml:space="preserve"> -  - </v>
      </c>
      <c r="N135" s="90"/>
    </row>
    <row r="136" spans="8:14" x14ac:dyDescent="0.25">
      <c r="H136" s="91"/>
      <c r="I136" s="91"/>
      <c r="J136" s="97"/>
      <c r="K136" s="79"/>
      <c r="L136" s="79"/>
      <c r="M136" s="79" t="str">
        <f>Table728182243240485664[[#This Row],[DBA]]&amp;" - "&amp;Table728182243240485664[[#This Row],[BIN]]&amp;" - "&amp;Table728182243240485664[[#This Row],[CAID]]</f>
        <v xml:space="preserve"> -  - </v>
      </c>
      <c r="N136" s="90"/>
    </row>
    <row r="137" spans="8:14" x14ac:dyDescent="0.25">
      <c r="H137" s="91"/>
      <c r="I137" s="91"/>
      <c r="J137" s="97"/>
      <c r="K137" s="79"/>
      <c r="L137" s="79"/>
      <c r="M137" s="79" t="str">
        <f>Table728182243240485664[[#This Row],[DBA]]&amp;" - "&amp;Table728182243240485664[[#This Row],[BIN]]&amp;" - "&amp;Table728182243240485664[[#This Row],[CAID]]</f>
        <v xml:space="preserve"> -  - </v>
      </c>
      <c r="N137" s="90"/>
    </row>
    <row r="138" spans="8:14" x14ac:dyDescent="0.25">
      <c r="H138" s="91"/>
      <c r="I138" s="91"/>
      <c r="J138" s="97"/>
      <c r="K138" s="79"/>
      <c r="L138" s="79"/>
      <c r="M138" s="79" t="str">
        <f>Table728182243240485664[[#This Row],[DBA]]&amp;" - "&amp;Table728182243240485664[[#This Row],[BIN]]&amp;" - "&amp;Table728182243240485664[[#This Row],[CAID]]</f>
        <v xml:space="preserve"> -  - </v>
      </c>
      <c r="N138" s="90"/>
    </row>
    <row r="139" spans="8:14" x14ac:dyDescent="0.25">
      <c r="H139" s="91"/>
      <c r="I139" s="91"/>
      <c r="J139" s="97"/>
      <c r="K139" s="79"/>
      <c r="L139" s="79"/>
      <c r="M139" s="79" t="str">
        <f>Table728182243240485664[[#This Row],[DBA]]&amp;" - "&amp;Table728182243240485664[[#This Row],[BIN]]&amp;" - "&amp;Table728182243240485664[[#This Row],[CAID]]</f>
        <v xml:space="preserve"> -  - </v>
      </c>
      <c r="N139" s="90"/>
    </row>
    <row r="140" spans="8:14" x14ac:dyDescent="0.25">
      <c r="H140" s="91"/>
      <c r="I140" s="91"/>
      <c r="J140" s="97"/>
      <c r="K140" s="79"/>
      <c r="L140" s="79"/>
      <c r="M140" s="79" t="str">
        <f>Table728182243240485664[[#This Row],[DBA]]&amp;" - "&amp;Table728182243240485664[[#This Row],[BIN]]&amp;" - "&amp;Table728182243240485664[[#This Row],[CAID]]</f>
        <v xml:space="preserve"> -  - </v>
      </c>
      <c r="N140" s="90"/>
    </row>
    <row r="141" spans="8:14" x14ac:dyDescent="0.25">
      <c r="H141" s="91"/>
      <c r="I141" s="91"/>
      <c r="J141" s="97"/>
      <c r="K141" s="79"/>
      <c r="L141" s="79"/>
      <c r="M141" s="79" t="str">
        <f>Table728182243240485664[[#This Row],[DBA]]&amp;" - "&amp;Table728182243240485664[[#This Row],[BIN]]&amp;" - "&amp;Table728182243240485664[[#This Row],[CAID]]</f>
        <v xml:space="preserve"> -  - </v>
      </c>
      <c r="N141" s="90"/>
    </row>
    <row r="142" spans="8:14" x14ac:dyDescent="0.25">
      <c r="H142" s="91"/>
      <c r="I142" s="91"/>
      <c r="J142" s="97"/>
      <c r="K142" s="79"/>
      <c r="L142" s="79"/>
      <c r="M142" s="79" t="str">
        <f>Table728182243240485664[[#This Row],[DBA]]&amp;" - "&amp;Table728182243240485664[[#This Row],[BIN]]&amp;" - "&amp;Table728182243240485664[[#This Row],[CAID]]</f>
        <v xml:space="preserve"> -  - </v>
      </c>
      <c r="N142" s="90"/>
    </row>
    <row r="143" spans="8:14" x14ac:dyDescent="0.25">
      <c r="H143" s="91"/>
      <c r="I143" s="91"/>
      <c r="J143" s="97"/>
      <c r="K143" s="79"/>
      <c r="L143" s="79"/>
      <c r="M143" s="79" t="str">
        <f>Table728182243240485664[[#This Row],[DBA]]&amp;" - "&amp;Table728182243240485664[[#This Row],[BIN]]&amp;" - "&amp;Table728182243240485664[[#This Row],[CAID]]</f>
        <v xml:space="preserve"> -  - </v>
      </c>
      <c r="N143" s="90"/>
    </row>
    <row r="144" spans="8:14" x14ac:dyDescent="0.25">
      <c r="H144" s="91"/>
      <c r="I144" s="91"/>
      <c r="J144" s="97"/>
      <c r="K144" s="79"/>
      <c r="L144" s="79"/>
      <c r="M144" s="79" t="str">
        <f>Table728182243240485664[[#This Row],[DBA]]&amp;" - "&amp;Table728182243240485664[[#This Row],[BIN]]&amp;" - "&amp;Table728182243240485664[[#This Row],[CAID]]</f>
        <v xml:space="preserve"> -  - </v>
      </c>
      <c r="N144" s="90"/>
    </row>
    <row r="145" spans="8:14" x14ac:dyDescent="0.25">
      <c r="H145" s="91"/>
      <c r="I145" s="91"/>
      <c r="J145" s="97"/>
      <c r="K145" s="79"/>
      <c r="L145" s="79"/>
      <c r="M145" s="79" t="str">
        <f>Table728182243240485664[[#This Row],[DBA]]&amp;" - "&amp;Table728182243240485664[[#This Row],[BIN]]&amp;" - "&amp;Table728182243240485664[[#This Row],[CAID]]</f>
        <v xml:space="preserve"> -  - </v>
      </c>
      <c r="N145" s="90"/>
    </row>
    <row r="146" spans="8:14" x14ac:dyDescent="0.25">
      <c r="H146" s="91"/>
      <c r="I146" s="91"/>
      <c r="J146" s="97"/>
      <c r="K146" s="79"/>
      <c r="L146" s="79"/>
      <c r="M146" s="79" t="str">
        <f>Table728182243240485664[[#This Row],[DBA]]&amp;" - "&amp;Table728182243240485664[[#This Row],[BIN]]&amp;" - "&amp;Table728182243240485664[[#This Row],[CAID]]</f>
        <v xml:space="preserve"> -  - </v>
      </c>
      <c r="N146" s="90"/>
    </row>
    <row r="147" spans="8:14" x14ac:dyDescent="0.25">
      <c r="H147" s="91"/>
      <c r="I147" s="91"/>
      <c r="J147" s="97"/>
      <c r="K147" s="79"/>
      <c r="L147" s="79"/>
      <c r="M147" s="79" t="str">
        <f>Table728182243240485664[[#This Row],[DBA]]&amp;" - "&amp;Table728182243240485664[[#This Row],[BIN]]&amp;" - "&amp;Table728182243240485664[[#This Row],[CAID]]</f>
        <v xml:space="preserve"> -  - </v>
      </c>
      <c r="N147" s="90"/>
    </row>
    <row r="148" spans="8:14" x14ac:dyDescent="0.25">
      <c r="H148" s="91"/>
      <c r="I148" s="91"/>
      <c r="J148" s="97"/>
      <c r="K148" s="79"/>
      <c r="L148" s="79"/>
      <c r="M148" s="79" t="str">
        <f>Table728182243240485664[[#This Row],[DBA]]&amp;" - "&amp;Table728182243240485664[[#This Row],[BIN]]&amp;" - "&amp;Table728182243240485664[[#This Row],[CAID]]</f>
        <v xml:space="preserve"> -  - </v>
      </c>
      <c r="N148" s="90"/>
    </row>
    <row r="149" spans="8:14" x14ac:dyDescent="0.25">
      <c r="H149" s="91"/>
      <c r="I149" s="91"/>
      <c r="J149" s="97"/>
      <c r="K149" s="79"/>
      <c r="L149" s="79"/>
      <c r="M149" s="79" t="str">
        <f>Table728182243240485664[[#This Row],[DBA]]&amp;" - "&amp;Table728182243240485664[[#This Row],[BIN]]&amp;" - "&amp;Table728182243240485664[[#This Row],[CAID]]</f>
        <v xml:space="preserve"> -  - </v>
      </c>
      <c r="N149" s="90"/>
    </row>
    <row r="150" spans="8:14" x14ac:dyDescent="0.25">
      <c r="H150" s="91"/>
      <c r="I150" s="91"/>
      <c r="J150" s="97"/>
      <c r="K150" s="79"/>
      <c r="L150" s="79"/>
      <c r="M150" s="79" t="str">
        <f>Table728182243240485664[[#This Row],[DBA]]&amp;" - "&amp;Table728182243240485664[[#This Row],[BIN]]&amp;" - "&amp;Table728182243240485664[[#This Row],[CAID]]</f>
        <v xml:space="preserve"> -  - </v>
      </c>
      <c r="N150" s="90"/>
    </row>
    <row r="151" spans="8:14" x14ac:dyDescent="0.25">
      <c r="H151" s="91"/>
      <c r="I151" s="91"/>
      <c r="J151" s="97"/>
      <c r="K151" s="79"/>
      <c r="L151" s="79"/>
      <c r="M151" s="79" t="str">
        <f>Table728182243240485664[[#This Row],[DBA]]&amp;" - "&amp;Table728182243240485664[[#This Row],[BIN]]&amp;" - "&amp;Table728182243240485664[[#This Row],[CAID]]</f>
        <v xml:space="preserve"> -  - </v>
      </c>
      <c r="N151" s="90"/>
    </row>
    <row r="152" spans="8:14" x14ac:dyDescent="0.25">
      <c r="H152" s="91"/>
      <c r="I152" s="91"/>
      <c r="J152" s="97"/>
      <c r="K152" s="79"/>
      <c r="L152" s="79"/>
      <c r="M152" s="79" t="str">
        <f>Table728182243240485664[[#This Row],[DBA]]&amp;" - "&amp;Table728182243240485664[[#This Row],[BIN]]&amp;" - "&amp;Table728182243240485664[[#This Row],[CAID]]</f>
        <v xml:space="preserve"> -  - </v>
      </c>
      <c r="N152" s="90"/>
    </row>
    <row r="153" spans="8:14" x14ac:dyDescent="0.25">
      <c r="H153" s="91"/>
      <c r="I153" s="91"/>
      <c r="J153" s="97"/>
      <c r="K153" s="79"/>
      <c r="L153" s="79"/>
      <c r="M153" s="79" t="str">
        <f>Table728182243240485664[[#This Row],[DBA]]&amp;" - "&amp;Table728182243240485664[[#This Row],[BIN]]&amp;" - "&amp;Table728182243240485664[[#This Row],[CAID]]</f>
        <v xml:space="preserve"> -  - </v>
      </c>
      <c r="N153" s="90"/>
    </row>
    <row r="154" spans="8:14" x14ac:dyDescent="0.25">
      <c r="H154" s="91"/>
      <c r="I154" s="91"/>
      <c r="J154" s="97"/>
      <c r="K154" s="79"/>
      <c r="L154" s="79"/>
      <c r="M154" s="79" t="str">
        <f>Table728182243240485664[[#This Row],[DBA]]&amp;" - "&amp;Table728182243240485664[[#This Row],[BIN]]&amp;" - "&amp;Table728182243240485664[[#This Row],[CAID]]</f>
        <v xml:space="preserve"> -  - </v>
      </c>
      <c r="N154" s="90"/>
    </row>
    <row r="155" spans="8:14" x14ac:dyDescent="0.25">
      <c r="H155" s="91"/>
      <c r="I155" s="91"/>
      <c r="J155" s="97"/>
      <c r="K155" s="79"/>
      <c r="L155" s="79"/>
      <c r="M155" s="79" t="str">
        <f>Table728182243240485664[[#This Row],[DBA]]&amp;" - "&amp;Table728182243240485664[[#This Row],[BIN]]&amp;" - "&amp;Table728182243240485664[[#This Row],[CAID]]</f>
        <v xml:space="preserve"> -  - </v>
      </c>
      <c r="N155" s="90"/>
    </row>
    <row r="156" spans="8:14" x14ac:dyDescent="0.25">
      <c r="H156" s="91"/>
      <c r="I156" s="91"/>
      <c r="J156" s="97"/>
      <c r="K156" s="79"/>
      <c r="L156" s="79"/>
      <c r="M156" s="79" t="str">
        <f>Table728182243240485664[[#This Row],[DBA]]&amp;" - "&amp;Table728182243240485664[[#This Row],[BIN]]&amp;" - "&amp;Table728182243240485664[[#This Row],[CAID]]</f>
        <v xml:space="preserve"> -  - </v>
      </c>
      <c r="N156" s="90"/>
    </row>
    <row r="157" spans="8:14" x14ac:dyDescent="0.25">
      <c r="H157" s="91"/>
      <c r="I157" s="91"/>
      <c r="J157" s="97"/>
      <c r="K157" s="79"/>
      <c r="L157" s="79"/>
      <c r="M157" s="79" t="str">
        <f>Table728182243240485664[[#This Row],[DBA]]&amp;" - "&amp;Table728182243240485664[[#This Row],[BIN]]&amp;" - "&amp;Table728182243240485664[[#This Row],[CAID]]</f>
        <v xml:space="preserve"> -  - </v>
      </c>
      <c r="N157" s="90"/>
    </row>
    <row r="158" spans="8:14" x14ac:dyDescent="0.25">
      <c r="H158" s="91"/>
      <c r="I158" s="91"/>
      <c r="J158" s="97"/>
      <c r="K158" s="79"/>
      <c r="L158" s="79"/>
      <c r="M158" s="79" t="str">
        <f>Table728182243240485664[[#This Row],[DBA]]&amp;" - "&amp;Table728182243240485664[[#This Row],[BIN]]&amp;" - "&amp;Table728182243240485664[[#This Row],[CAID]]</f>
        <v xml:space="preserve"> -  - </v>
      </c>
      <c r="N158" s="90"/>
    </row>
    <row r="159" spans="8:14" x14ac:dyDescent="0.25">
      <c r="H159" s="91"/>
      <c r="I159" s="91"/>
      <c r="J159" s="97"/>
      <c r="K159" s="79"/>
      <c r="L159" s="79"/>
      <c r="M159" s="79" t="str">
        <f>Table728182243240485664[[#This Row],[DBA]]&amp;" - "&amp;Table728182243240485664[[#This Row],[BIN]]&amp;" - "&amp;Table728182243240485664[[#This Row],[CAID]]</f>
        <v xml:space="preserve"> -  - </v>
      </c>
      <c r="N159" s="90"/>
    </row>
    <row r="160" spans="8:14" x14ac:dyDescent="0.25">
      <c r="H160" s="91"/>
      <c r="I160" s="91"/>
      <c r="J160" s="97"/>
      <c r="K160" s="79"/>
      <c r="L160" s="79"/>
      <c r="M160" s="79" t="str">
        <f>Table728182243240485664[[#This Row],[DBA]]&amp;" - "&amp;Table728182243240485664[[#This Row],[BIN]]&amp;" - "&amp;Table728182243240485664[[#This Row],[CAID]]</f>
        <v xml:space="preserve"> -  - </v>
      </c>
      <c r="N160" s="90"/>
    </row>
    <row r="161" spans="8:14" x14ac:dyDescent="0.25">
      <c r="H161" s="91"/>
      <c r="I161" s="91"/>
      <c r="J161" s="97"/>
      <c r="K161" s="79"/>
      <c r="L161" s="79"/>
      <c r="M161" s="79" t="str">
        <f>Table728182243240485664[[#This Row],[DBA]]&amp;" - "&amp;Table728182243240485664[[#This Row],[BIN]]&amp;" - "&amp;Table728182243240485664[[#This Row],[CAID]]</f>
        <v xml:space="preserve"> -  - </v>
      </c>
      <c r="N161" s="90"/>
    </row>
    <row r="162" spans="8:14" x14ac:dyDescent="0.25">
      <c r="H162" s="91"/>
      <c r="I162" s="91"/>
      <c r="J162" s="97"/>
      <c r="K162" s="79"/>
      <c r="L162" s="79"/>
      <c r="M162" s="79" t="str">
        <f>Table728182243240485664[[#This Row],[DBA]]&amp;" - "&amp;Table728182243240485664[[#This Row],[BIN]]&amp;" - "&amp;Table728182243240485664[[#This Row],[CAID]]</f>
        <v xml:space="preserve"> -  - </v>
      </c>
      <c r="N162" s="90"/>
    </row>
    <row r="163" spans="8:14" x14ac:dyDescent="0.25">
      <c r="H163" s="91"/>
      <c r="I163" s="91"/>
      <c r="J163" s="97"/>
      <c r="K163" s="79"/>
      <c r="L163" s="79"/>
      <c r="M163" s="79" t="str">
        <f>Table728182243240485664[[#This Row],[DBA]]&amp;" - "&amp;Table728182243240485664[[#This Row],[BIN]]&amp;" - "&amp;Table728182243240485664[[#This Row],[CAID]]</f>
        <v xml:space="preserve"> -  - </v>
      </c>
      <c r="N163" s="90"/>
    </row>
    <row r="164" spans="8:14" x14ac:dyDescent="0.25">
      <c r="H164" s="91"/>
      <c r="I164" s="91"/>
      <c r="J164" s="97"/>
      <c r="K164" s="79"/>
      <c r="L164" s="79"/>
      <c r="M164" s="79" t="str">
        <f>Table728182243240485664[[#This Row],[DBA]]&amp;" - "&amp;Table728182243240485664[[#This Row],[BIN]]&amp;" - "&amp;Table728182243240485664[[#This Row],[CAID]]</f>
        <v xml:space="preserve"> -  - </v>
      </c>
      <c r="N164" s="90"/>
    </row>
    <row r="165" spans="8:14" x14ac:dyDescent="0.25">
      <c r="H165" s="91"/>
      <c r="I165" s="91"/>
      <c r="J165" s="97"/>
      <c r="K165" s="79"/>
      <c r="L165" s="79"/>
      <c r="M165" s="79" t="str">
        <f>Table728182243240485664[[#This Row],[DBA]]&amp;" - "&amp;Table728182243240485664[[#This Row],[BIN]]&amp;" - "&amp;Table728182243240485664[[#This Row],[CAID]]</f>
        <v xml:space="preserve"> -  - </v>
      </c>
      <c r="N165" s="90"/>
    </row>
    <row r="166" spans="8:14" x14ac:dyDescent="0.25">
      <c r="H166" s="91"/>
      <c r="I166" s="91"/>
      <c r="J166" s="97"/>
      <c r="K166" s="79"/>
      <c r="L166" s="79"/>
      <c r="M166" s="79" t="str">
        <f>Table728182243240485664[[#This Row],[DBA]]&amp;" - "&amp;Table728182243240485664[[#This Row],[BIN]]&amp;" - "&amp;Table728182243240485664[[#This Row],[CAID]]</f>
        <v xml:space="preserve"> -  - </v>
      </c>
      <c r="N166" s="90"/>
    </row>
    <row r="167" spans="8:14" x14ac:dyDescent="0.25">
      <c r="H167" s="91"/>
      <c r="I167" s="91"/>
      <c r="J167" s="97"/>
      <c r="K167" s="79"/>
      <c r="L167" s="79"/>
      <c r="M167" s="79" t="str">
        <f>Table728182243240485664[[#This Row],[DBA]]&amp;" - "&amp;Table728182243240485664[[#This Row],[BIN]]&amp;" - "&amp;Table728182243240485664[[#This Row],[CAID]]</f>
        <v xml:space="preserve"> -  - </v>
      </c>
      <c r="N167" s="90"/>
    </row>
    <row r="168" spans="8:14" x14ac:dyDescent="0.25">
      <c r="H168" s="91"/>
      <c r="I168" s="91"/>
      <c r="J168" s="97"/>
      <c r="K168" s="79"/>
      <c r="L168" s="79"/>
      <c r="M168" s="79" t="str">
        <f>Table728182243240485664[[#This Row],[DBA]]&amp;" - "&amp;Table728182243240485664[[#This Row],[BIN]]&amp;" - "&amp;Table728182243240485664[[#This Row],[CAID]]</f>
        <v xml:space="preserve"> -  - </v>
      </c>
      <c r="N168" s="90"/>
    </row>
    <row r="169" spans="8:14" x14ac:dyDescent="0.25">
      <c r="H169" s="91"/>
      <c r="I169" s="91"/>
      <c r="J169" s="97"/>
      <c r="K169" s="79"/>
      <c r="L169" s="79"/>
      <c r="M169" s="79" t="str">
        <f>Table728182243240485664[[#This Row],[DBA]]&amp;" - "&amp;Table728182243240485664[[#This Row],[BIN]]&amp;" - "&amp;Table728182243240485664[[#This Row],[CAID]]</f>
        <v xml:space="preserve"> -  - </v>
      </c>
      <c r="N169" s="90"/>
    </row>
    <row r="170" spans="8:14" x14ac:dyDescent="0.25">
      <c r="H170" s="91"/>
      <c r="I170" s="91"/>
      <c r="J170" s="97"/>
      <c r="K170" s="79"/>
      <c r="L170" s="79"/>
      <c r="M170" s="79" t="str">
        <f>Table728182243240485664[[#This Row],[DBA]]&amp;" - "&amp;Table728182243240485664[[#This Row],[BIN]]&amp;" - "&amp;Table728182243240485664[[#This Row],[CAID]]</f>
        <v xml:space="preserve"> -  - </v>
      </c>
      <c r="N170" s="90"/>
    </row>
    <row r="171" spans="8:14" x14ac:dyDescent="0.25">
      <c r="H171" s="91"/>
      <c r="I171" s="91"/>
      <c r="J171" s="97"/>
      <c r="K171" s="79"/>
      <c r="L171" s="79"/>
      <c r="M171" s="79" t="str">
        <f>Table728182243240485664[[#This Row],[DBA]]&amp;" - "&amp;Table728182243240485664[[#This Row],[BIN]]&amp;" - "&amp;Table728182243240485664[[#This Row],[CAID]]</f>
        <v xml:space="preserve"> -  - </v>
      </c>
      <c r="N171" s="90"/>
    </row>
    <row r="172" spans="8:14" x14ac:dyDescent="0.25">
      <c r="H172" s="91"/>
      <c r="I172" s="91"/>
      <c r="J172" s="97"/>
      <c r="K172" s="79"/>
      <c r="L172" s="79"/>
      <c r="M172" s="79" t="str">
        <f>Table728182243240485664[[#This Row],[DBA]]&amp;" - "&amp;Table728182243240485664[[#This Row],[BIN]]&amp;" - "&amp;Table728182243240485664[[#This Row],[CAID]]</f>
        <v xml:space="preserve"> -  - </v>
      </c>
      <c r="N172" s="90"/>
    </row>
    <row r="173" spans="8:14" x14ac:dyDescent="0.25">
      <c r="H173" s="91"/>
      <c r="I173" s="91"/>
      <c r="J173" s="97"/>
      <c r="K173" s="79"/>
      <c r="L173" s="79"/>
      <c r="M173" s="79" t="str">
        <f>Table728182243240485664[[#This Row],[DBA]]&amp;" - "&amp;Table728182243240485664[[#This Row],[BIN]]&amp;" - "&amp;Table728182243240485664[[#This Row],[CAID]]</f>
        <v xml:space="preserve"> -  - </v>
      </c>
      <c r="N173" s="90"/>
    </row>
    <row r="174" spans="8:14" x14ac:dyDescent="0.25">
      <c r="H174" s="91"/>
      <c r="I174" s="91"/>
      <c r="J174" s="97"/>
      <c r="K174" s="79"/>
      <c r="L174" s="79"/>
      <c r="M174" s="79" t="str">
        <f>Table728182243240485664[[#This Row],[DBA]]&amp;" - "&amp;Table728182243240485664[[#This Row],[BIN]]&amp;" - "&amp;Table728182243240485664[[#This Row],[CAID]]</f>
        <v xml:space="preserve"> -  - </v>
      </c>
      <c r="N174" s="90"/>
    </row>
    <row r="175" spans="8:14" x14ac:dyDescent="0.25">
      <c r="H175" s="91"/>
      <c r="I175" s="91"/>
      <c r="J175" s="97"/>
      <c r="K175" s="79"/>
      <c r="L175" s="79"/>
      <c r="M175" s="79" t="str">
        <f>Table728182243240485664[[#This Row],[DBA]]&amp;" - "&amp;Table728182243240485664[[#This Row],[BIN]]&amp;" - "&amp;Table728182243240485664[[#This Row],[CAID]]</f>
        <v xml:space="preserve"> -  - </v>
      </c>
      <c r="N175" s="90"/>
    </row>
    <row r="176" spans="8:14" x14ac:dyDescent="0.25">
      <c r="H176" s="91"/>
      <c r="I176" s="91"/>
      <c r="J176" s="97"/>
      <c r="K176" s="79"/>
      <c r="L176" s="79"/>
      <c r="M176" s="79" t="str">
        <f>Table728182243240485664[[#This Row],[DBA]]&amp;" - "&amp;Table728182243240485664[[#This Row],[BIN]]&amp;" - "&amp;Table728182243240485664[[#This Row],[CAID]]</f>
        <v xml:space="preserve"> -  - </v>
      </c>
      <c r="N176" s="90"/>
    </row>
    <row r="177" spans="8:14" x14ac:dyDescent="0.25">
      <c r="H177" s="91"/>
      <c r="I177" s="91"/>
      <c r="J177" s="97"/>
      <c r="K177" s="79"/>
      <c r="L177" s="79"/>
      <c r="M177" s="79" t="str">
        <f>Table728182243240485664[[#This Row],[DBA]]&amp;" - "&amp;Table728182243240485664[[#This Row],[BIN]]&amp;" - "&amp;Table728182243240485664[[#This Row],[CAID]]</f>
        <v xml:space="preserve"> -  - </v>
      </c>
      <c r="N177" s="90"/>
    </row>
    <row r="178" spans="8:14" x14ac:dyDescent="0.25">
      <c r="H178" s="91"/>
      <c r="I178" s="91"/>
      <c r="J178" s="97"/>
      <c r="K178" s="79"/>
      <c r="L178" s="79"/>
      <c r="M178" s="79" t="str">
        <f>Table728182243240485664[[#This Row],[DBA]]&amp;" - "&amp;Table728182243240485664[[#This Row],[BIN]]&amp;" - "&amp;Table728182243240485664[[#This Row],[CAID]]</f>
        <v xml:space="preserve"> -  - </v>
      </c>
      <c r="N178" s="90"/>
    </row>
    <row r="179" spans="8:14" x14ac:dyDescent="0.25">
      <c r="H179" s="91"/>
      <c r="I179" s="91"/>
      <c r="J179" s="97"/>
      <c r="K179" s="79"/>
      <c r="L179" s="79"/>
      <c r="M179" s="79" t="str">
        <f>Table728182243240485664[[#This Row],[DBA]]&amp;" - "&amp;Table728182243240485664[[#This Row],[BIN]]&amp;" - "&amp;Table728182243240485664[[#This Row],[CAID]]</f>
        <v xml:space="preserve"> -  - </v>
      </c>
      <c r="N179" s="90"/>
    </row>
    <row r="180" spans="8:14" x14ac:dyDescent="0.25">
      <c r="H180" s="91"/>
      <c r="I180" s="91"/>
      <c r="J180" s="97"/>
      <c r="K180" s="79"/>
      <c r="L180" s="79"/>
      <c r="M180" s="79" t="str">
        <f>Table728182243240485664[[#This Row],[DBA]]&amp;" - "&amp;Table728182243240485664[[#This Row],[BIN]]&amp;" - "&amp;Table728182243240485664[[#This Row],[CAID]]</f>
        <v xml:space="preserve"> -  - </v>
      </c>
      <c r="N180" s="90"/>
    </row>
    <row r="181" spans="8:14" x14ac:dyDescent="0.25">
      <c r="H181" s="91"/>
      <c r="I181" s="91"/>
      <c r="J181" s="97"/>
      <c r="K181" s="79"/>
      <c r="L181" s="79"/>
      <c r="M181" s="79" t="str">
        <f>Table728182243240485664[[#This Row],[DBA]]&amp;" - "&amp;Table728182243240485664[[#This Row],[BIN]]&amp;" - "&amp;Table728182243240485664[[#This Row],[CAID]]</f>
        <v xml:space="preserve"> -  - </v>
      </c>
      <c r="N181" s="90"/>
    </row>
    <row r="182" spans="8:14" x14ac:dyDescent="0.25">
      <c r="H182" s="91"/>
      <c r="I182" s="91"/>
      <c r="J182" s="97"/>
      <c r="K182" s="79"/>
      <c r="L182" s="79"/>
      <c r="M182" s="79" t="str">
        <f>Table728182243240485664[[#This Row],[DBA]]&amp;" - "&amp;Table728182243240485664[[#This Row],[BIN]]&amp;" - "&amp;Table728182243240485664[[#This Row],[CAID]]</f>
        <v xml:space="preserve"> -  - </v>
      </c>
      <c r="N182" s="90"/>
    </row>
    <row r="183" spans="8:14" x14ac:dyDescent="0.25">
      <c r="H183" s="91"/>
      <c r="I183" s="91"/>
      <c r="J183" s="97"/>
      <c r="K183" s="79"/>
      <c r="L183" s="79"/>
      <c r="M183" s="79" t="str">
        <f>Table728182243240485664[[#This Row],[DBA]]&amp;" - "&amp;Table728182243240485664[[#This Row],[BIN]]&amp;" - "&amp;Table728182243240485664[[#This Row],[CAID]]</f>
        <v xml:space="preserve"> -  - </v>
      </c>
      <c r="N183" s="90"/>
    </row>
    <row r="184" spans="8:14" x14ac:dyDescent="0.25">
      <c r="H184" s="91"/>
      <c r="I184" s="91"/>
      <c r="J184" s="97"/>
      <c r="K184" s="79"/>
      <c r="L184" s="79"/>
      <c r="M184" s="79" t="str">
        <f>Table728182243240485664[[#This Row],[DBA]]&amp;" - "&amp;Table728182243240485664[[#This Row],[BIN]]&amp;" - "&amp;Table728182243240485664[[#This Row],[CAID]]</f>
        <v xml:space="preserve"> -  - </v>
      </c>
      <c r="N184" s="90"/>
    </row>
    <row r="185" spans="8:14" x14ac:dyDescent="0.25">
      <c r="H185" s="91"/>
      <c r="I185" s="91"/>
      <c r="J185" s="97"/>
      <c r="K185" s="79"/>
      <c r="L185" s="79"/>
      <c r="M185" s="79" t="str">
        <f>Table728182243240485664[[#This Row],[DBA]]&amp;" - "&amp;Table728182243240485664[[#This Row],[BIN]]&amp;" - "&amp;Table728182243240485664[[#This Row],[CAID]]</f>
        <v xml:space="preserve"> -  - </v>
      </c>
      <c r="N185" s="90"/>
    </row>
    <row r="186" spans="8:14" x14ac:dyDescent="0.25">
      <c r="H186" s="91"/>
      <c r="I186" s="91"/>
      <c r="J186" s="97"/>
      <c r="K186" s="79"/>
      <c r="L186" s="79"/>
      <c r="M186" s="79" t="str">
        <f>Table728182243240485664[[#This Row],[DBA]]&amp;" - "&amp;Table728182243240485664[[#This Row],[BIN]]&amp;" - "&amp;Table728182243240485664[[#This Row],[CAID]]</f>
        <v xml:space="preserve"> -  - </v>
      </c>
      <c r="N186" s="90"/>
    </row>
    <row r="187" spans="8:14" x14ac:dyDescent="0.25">
      <c r="H187" s="91"/>
      <c r="I187" s="91"/>
      <c r="J187" s="97"/>
      <c r="K187" s="79"/>
      <c r="L187" s="79"/>
      <c r="M187" s="79" t="str">
        <f>Table728182243240485664[[#This Row],[DBA]]&amp;" - "&amp;Table728182243240485664[[#This Row],[BIN]]&amp;" - "&amp;Table728182243240485664[[#This Row],[CAID]]</f>
        <v xml:space="preserve"> -  - </v>
      </c>
      <c r="N187" s="90"/>
    </row>
    <row r="188" spans="8:14" x14ac:dyDescent="0.25">
      <c r="H188" s="91"/>
      <c r="I188" s="91"/>
      <c r="J188" s="97"/>
      <c r="K188" s="79"/>
      <c r="L188" s="79"/>
      <c r="M188" s="79" t="str">
        <f>Table728182243240485664[[#This Row],[DBA]]&amp;" - "&amp;Table728182243240485664[[#This Row],[BIN]]&amp;" - "&amp;Table728182243240485664[[#This Row],[CAID]]</f>
        <v xml:space="preserve"> -  - </v>
      </c>
      <c r="N188" s="90"/>
    </row>
    <row r="189" spans="8:14" x14ac:dyDescent="0.25">
      <c r="H189" s="91"/>
      <c r="I189" s="91"/>
      <c r="J189" s="97"/>
      <c r="K189" s="79"/>
      <c r="L189" s="79"/>
      <c r="M189" s="79" t="str">
        <f>Table728182243240485664[[#This Row],[DBA]]&amp;" - "&amp;Table728182243240485664[[#This Row],[BIN]]&amp;" - "&amp;Table728182243240485664[[#This Row],[CAID]]</f>
        <v xml:space="preserve"> -  - </v>
      </c>
      <c r="N189" s="90"/>
    </row>
    <row r="190" spans="8:14" x14ac:dyDescent="0.25">
      <c r="H190" s="91"/>
      <c r="I190" s="91"/>
      <c r="J190" s="97"/>
      <c r="K190" s="79"/>
      <c r="L190" s="79"/>
      <c r="M190" s="79" t="str">
        <f>Table728182243240485664[[#This Row],[DBA]]&amp;" - "&amp;Table728182243240485664[[#This Row],[BIN]]&amp;" - "&amp;Table728182243240485664[[#This Row],[CAID]]</f>
        <v xml:space="preserve"> -  - </v>
      </c>
      <c r="N190" s="90"/>
    </row>
    <row r="191" spans="8:14" x14ac:dyDescent="0.25">
      <c r="H191" s="91"/>
      <c r="I191" s="91"/>
      <c r="J191" s="97"/>
      <c r="K191" s="79"/>
      <c r="L191" s="79"/>
      <c r="M191" s="79" t="str">
        <f>Table728182243240485664[[#This Row],[DBA]]&amp;" - "&amp;Table728182243240485664[[#This Row],[BIN]]&amp;" - "&amp;Table728182243240485664[[#This Row],[CAID]]</f>
        <v xml:space="preserve"> -  - </v>
      </c>
      <c r="N191" s="90"/>
    </row>
    <row r="192" spans="8:14" x14ac:dyDescent="0.25">
      <c r="H192" s="91"/>
      <c r="I192" s="91"/>
      <c r="J192" s="97"/>
      <c r="K192" s="79"/>
      <c r="L192" s="79"/>
      <c r="M192" s="79" t="str">
        <f>Table728182243240485664[[#This Row],[DBA]]&amp;" - "&amp;Table728182243240485664[[#This Row],[BIN]]&amp;" - "&amp;Table728182243240485664[[#This Row],[CAID]]</f>
        <v xml:space="preserve"> -  - </v>
      </c>
      <c r="N192" s="90"/>
    </row>
    <row r="193" spans="8:14" x14ac:dyDescent="0.25">
      <c r="H193" s="91"/>
      <c r="I193" s="91"/>
      <c r="J193" s="97"/>
      <c r="K193" s="79"/>
      <c r="L193" s="79"/>
      <c r="M193" s="79" t="str">
        <f>Table728182243240485664[[#This Row],[DBA]]&amp;" - "&amp;Table728182243240485664[[#This Row],[BIN]]&amp;" - "&amp;Table728182243240485664[[#This Row],[CAID]]</f>
        <v xml:space="preserve"> -  - </v>
      </c>
      <c r="N193" s="90"/>
    </row>
    <row r="194" spans="8:14" x14ac:dyDescent="0.25">
      <c r="H194" s="91"/>
      <c r="I194" s="91"/>
      <c r="J194" s="97"/>
      <c r="K194" s="79"/>
      <c r="L194" s="79"/>
      <c r="M194" s="79" t="str">
        <f>Table728182243240485664[[#This Row],[DBA]]&amp;" - "&amp;Table728182243240485664[[#This Row],[BIN]]&amp;" - "&amp;Table728182243240485664[[#This Row],[CAID]]</f>
        <v xml:space="preserve"> -  - </v>
      </c>
      <c r="N194" s="90"/>
    </row>
    <row r="195" spans="8:14" x14ac:dyDescent="0.25">
      <c r="H195" s="91"/>
      <c r="I195" s="91"/>
      <c r="J195" s="97"/>
      <c r="K195" s="79"/>
      <c r="L195" s="79"/>
      <c r="M195" s="79" t="str">
        <f>Table728182243240485664[[#This Row],[DBA]]&amp;" - "&amp;Table728182243240485664[[#This Row],[BIN]]&amp;" - "&amp;Table728182243240485664[[#This Row],[CAID]]</f>
        <v xml:space="preserve"> -  - </v>
      </c>
      <c r="N195" s="90"/>
    </row>
    <row r="196" spans="8:14" x14ac:dyDescent="0.25">
      <c r="H196" s="91"/>
      <c r="I196" s="91"/>
      <c r="J196" s="97"/>
      <c r="K196" s="79"/>
      <c r="L196" s="79"/>
      <c r="M196" s="79" t="str">
        <f>Table728182243240485664[[#This Row],[DBA]]&amp;" - "&amp;Table728182243240485664[[#This Row],[BIN]]&amp;" - "&amp;Table728182243240485664[[#This Row],[CAID]]</f>
        <v xml:space="preserve"> -  - </v>
      </c>
      <c r="N196" s="90"/>
    </row>
    <row r="197" spans="8:14" x14ac:dyDescent="0.25">
      <c r="H197" s="91"/>
      <c r="I197" s="91"/>
      <c r="J197" s="97"/>
      <c r="K197" s="79"/>
      <c r="L197" s="79"/>
      <c r="M197" s="79" t="str">
        <f>Table728182243240485664[[#This Row],[DBA]]&amp;" - "&amp;Table728182243240485664[[#This Row],[BIN]]&amp;" - "&amp;Table728182243240485664[[#This Row],[CAID]]</f>
        <v xml:space="preserve"> -  - </v>
      </c>
      <c r="N197" s="90"/>
    </row>
    <row r="198" spans="8:14" x14ac:dyDescent="0.25">
      <c r="H198" s="91"/>
      <c r="I198" s="91"/>
      <c r="J198" s="97"/>
      <c r="K198" s="79"/>
      <c r="L198" s="79"/>
      <c r="M198" s="79" t="str">
        <f>Table728182243240485664[[#This Row],[DBA]]&amp;" - "&amp;Table728182243240485664[[#This Row],[BIN]]&amp;" - "&amp;Table728182243240485664[[#This Row],[CAID]]</f>
        <v xml:space="preserve"> -  - </v>
      </c>
      <c r="N198" s="90"/>
    </row>
    <row r="199" spans="8:14" x14ac:dyDescent="0.25">
      <c r="H199" s="91"/>
      <c r="I199" s="91"/>
      <c r="J199" s="97"/>
      <c r="K199" s="79"/>
      <c r="L199" s="79"/>
      <c r="M199" s="79" t="str">
        <f>Table728182243240485664[[#This Row],[DBA]]&amp;" - "&amp;Table728182243240485664[[#This Row],[BIN]]&amp;" - "&amp;Table728182243240485664[[#This Row],[CAID]]</f>
        <v xml:space="preserve"> -  - </v>
      </c>
      <c r="N199" s="90"/>
    </row>
    <row r="200" spans="8:14" x14ac:dyDescent="0.25">
      <c r="H200" s="91"/>
      <c r="I200" s="91"/>
      <c r="J200" s="97"/>
      <c r="K200" s="79"/>
      <c r="L200" s="79"/>
      <c r="M200" s="79" t="str">
        <f>Table728182243240485664[[#This Row],[DBA]]&amp;" - "&amp;Table728182243240485664[[#This Row],[BIN]]&amp;" - "&amp;Table728182243240485664[[#This Row],[CAID]]</f>
        <v xml:space="preserve"> -  - </v>
      </c>
      <c r="N200" s="90"/>
    </row>
    <row r="201" spans="8:14" x14ac:dyDescent="0.25">
      <c r="H201" s="91"/>
      <c r="I201" s="91"/>
      <c r="J201" s="97"/>
      <c r="K201" s="79"/>
      <c r="L201" s="79"/>
      <c r="M201" s="79" t="str">
        <f>Table728182243240485664[[#This Row],[DBA]]&amp;" - "&amp;Table728182243240485664[[#This Row],[BIN]]&amp;" - "&amp;Table728182243240485664[[#This Row],[CAID]]</f>
        <v xml:space="preserve"> -  - </v>
      </c>
      <c r="N201" s="90"/>
    </row>
    <row r="202" spans="8:14" x14ac:dyDescent="0.25">
      <c r="H202" s="91"/>
      <c r="I202" s="91"/>
      <c r="J202" s="97"/>
      <c r="K202" s="79"/>
      <c r="L202" s="79"/>
      <c r="M202" s="79" t="str">
        <f>Table728182243240485664[[#This Row],[DBA]]&amp;" - "&amp;Table728182243240485664[[#This Row],[BIN]]&amp;" - "&amp;Table728182243240485664[[#This Row],[CAID]]</f>
        <v xml:space="preserve"> -  - </v>
      </c>
      <c r="N202" s="90"/>
    </row>
    <row r="203" spans="8:14" x14ac:dyDescent="0.25">
      <c r="H203" s="91"/>
      <c r="I203" s="91"/>
      <c r="J203" s="97"/>
      <c r="K203" s="79"/>
      <c r="L203" s="79"/>
      <c r="M203" s="79" t="str">
        <f>Table728182243240485664[[#This Row],[DBA]]&amp;" - "&amp;Table728182243240485664[[#This Row],[BIN]]&amp;" - "&amp;Table728182243240485664[[#This Row],[CAID]]</f>
        <v xml:space="preserve"> -  - </v>
      </c>
      <c r="N203" s="90"/>
    </row>
    <row r="204" spans="8:14" x14ac:dyDescent="0.25">
      <c r="H204" s="91"/>
      <c r="I204" s="91"/>
      <c r="J204" s="97"/>
      <c r="K204" s="79"/>
      <c r="L204" s="79"/>
      <c r="M204" s="79" t="str">
        <f>Table728182243240485664[[#This Row],[DBA]]&amp;" - "&amp;Table728182243240485664[[#This Row],[BIN]]&amp;" - "&amp;Table728182243240485664[[#This Row],[CAID]]</f>
        <v xml:space="preserve"> -  - </v>
      </c>
      <c r="N204" s="90"/>
    </row>
    <row r="205" spans="8:14" x14ac:dyDescent="0.25">
      <c r="H205" s="91"/>
      <c r="I205" s="91"/>
      <c r="J205" s="97"/>
      <c r="K205" s="79"/>
      <c r="L205" s="79"/>
      <c r="M205" s="79" t="str">
        <f>Table728182243240485664[[#This Row],[DBA]]&amp;" - "&amp;Table728182243240485664[[#This Row],[BIN]]&amp;" - "&amp;Table728182243240485664[[#This Row],[CAID]]</f>
        <v xml:space="preserve"> -  - </v>
      </c>
      <c r="N205" s="90"/>
    </row>
    <row r="206" spans="8:14" x14ac:dyDescent="0.25">
      <c r="H206" s="91"/>
      <c r="I206" s="91"/>
      <c r="J206" s="97"/>
      <c r="K206" s="79"/>
      <c r="L206" s="79"/>
      <c r="M206" s="79" t="str">
        <f>Table728182243240485664[[#This Row],[DBA]]&amp;" - "&amp;Table728182243240485664[[#This Row],[BIN]]&amp;" - "&amp;Table728182243240485664[[#This Row],[CAID]]</f>
        <v xml:space="preserve"> -  - </v>
      </c>
      <c r="N206" s="90"/>
    </row>
    <row r="207" spans="8:14" x14ac:dyDescent="0.25">
      <c r="H207" s="91"/>
      <c r="I207" s="91"/>
      <c r="J207" s="97"/>
      <c r="K207" s="79"/>
      <c r="L207" s="79"/>
      <c r="M207" s="79" t="str">
        <f>Table728182243240485664[[#This Row],[DBA]]&amp;" - "&amp;Table728182243240485664[[#This Row],[BIN]]&amp;" - "&amp;Table728182243240485664[[#This Row],[CAID]]</f>
        <v xml:space="preserve"> -  - </v>
      </c>
      <c r="N207" s="90"/>
    </row>
    <row r="208" spans="8:14" x14ac:dyDescent="0.25">
      <c r="H208" s="91"/>
      <c r="I208" s="91"/>
      <c r="J208" s="97"/>
      <c r="K208" s="79"/>
      <c r="L208" s="79"/>
      <c r="M208" s="79" t="str">
        <f>Table728182243240485664[[#This Row],[DBA]]&amp;" - "&amp;Table728182243240485664[[#This Row],[BIN]]&amp;" - "&amp;Table728182243240485664[[#This Row],[CAID]]</f>
        <v xml:space="preserve"> -  - </v>
      </c>
      <c r="N208" s="90"/>
    </row>
    <row r="209" spans="8:14" x14ac:dyDescent="0.25">
      <c r="H209" s="91"/>
      <c r="I209" s="91"/>
      <c r="J209" s="97"/>
      <c r="K209" s="79"/>
      <c r="L209" s="79"/>
      <c r="M209" s="79" t="str">
        <f>Table728182243240485664[[#This Row],[DBA]]&amp;" - "&amp;Table728182243240485664[[#This Row],[BIN]]&amp;" - "&amp;Table728182243240485664[[#This Row],[CAID]]</f>
        <v xml:space="preserve"> -  - </v>
      </c>
      <c r="N209" s="90"/>
    </row>
    <row r="210" spans="8:14" x14ac:dyDescent="0.25">
      <c r="H210" s="91"/>
      <c r="I210" s="91"/>
      <c r="J210" s="97"/>
      <c r="K210" s="79"/>
      <c r="L210" s="79"/>
      <c r="M210" s="79" t="str">
        <f>Table728182243240485664[[#This Row],[DBA]]&amp;" - "&amp;Table728182243240485664[[#This Row],[BIN]]&amp;" - "&amp;Table728182243240485664[[#This Row],[CAID]]</f>
        <v xml:space="preserve"> -  - </v>
      </c>
      <c r="N210" s="90"/>
    </row>
    <row r="211" spans="8:14" x14ac:dyDescent="0.25">
      <c r="H211" s="91"/>
      <c r="I211" s="91"/>
      <c r="J211" s="97"/>
      <c r="K211" s="79"/>
      <c r="L211" s="79"/>
      <c r="M211" s="79" t="str">
        <f>Table728182243240485664[[#This Row],[DBA]]&amp;" - "&amp;Table728182243240485664[[#This Row],[BIN]]&amp;" - "&amp;Table728182243240485664[[#This Row],[CAID]]</f>
        <v xml:space="preserve"> -  - </v>
      </c>
      <c r="N211" s="90"/>
    </row>
    <row r="212" spans="8:14" x14ac:dyDescent="0.25">
      <c r="H212" s="91"/>
      <c r="I212" s="91"/>
      <c r="J212" s="97"/>
      <c r="K212" s="79"/>
      <c r="L212" s="79"/>
      <c r="M212" s="79" t="str">
        <f>Table728182243240485664[[#This Row],[DBA]]&amp;" - "&amp;Table728182243240485664[[#This Row],[BIN]]&amp;" - "&amp;Table728182243240485664[[#This Row],[CAID]]</f>
        <v xml:space="preserve"> -  - </v>
      </c>
      <c r="N212" s="90"/>
    </row>
    <row r="213" spans="8:14" x14ac:dyDescent="0.25">
      <c r="H213" s="91"/>
      <c r="I213" s="91"/>
      <c r="J213" s="97"/>
      <c r="K213" s="79"/>
      <c r="L213" s="79"/>
      <c r="M213" s="79" t="str">
        <f>Table728182243240485664[[#This Row],[DBA]]&amp;" - "&amp;Table728182243240485664[[#This Row],[BIN]]&amp;" - "&amp;Table728182243240485664[[#This Row],[CAID]]</f>
        <v xml:space="preserve"> -  - </v>
      </c>
      <c r="N213" s="90"/>
    </row>
    <row r="214" spans="8:14" x14ac:dyDescent="0.25">
      <c r="H214" s="91"/>
      <c r="I214" s="91"/>
      <c r="J214" s="97"/>
      <c r="K214" s="79"/>
      <c r="L214" s="79"/>
      <c r="M214" s="79" t="str">
        <f>Table728182243240485664[[#This Row],[DBA]]&amp;" - "&amp;Table728182243240485664[[#This Row],[BIN]]&amp;" - "&amp;Table728182243240485664[[#This Row],[CAID]]</f>
        <v xml:space="preserve"> -  - </v>
      </c>
      <c r="N214" s="90"/>
    </row>
    <row r="215" spans="8:14" x14ac:dyDescent="0.25">
      <c r="H215" s="91"/>
      <c r="I215" s="91"/>
      <c r="J215" s="97"/>
      <c r="K215" s="79"/>
      <c r="L215" s="79"/>
      <c r="M215" s="79" t="str">
        <f>Table728182243240485664[[#This Row],[DBA]]&amp;" - "&amp;Table728182243240485664[[#This Row],[BIN]]&amp;" - "&amp;Table728182243240485664[[#This Row],[CAID]]</f>
        <v xml:space="preserve"> -  - </v>
      </c>
      <c r="N215" s="90"/>
    </row>
    <row r="216" spans="8:14" x14ac:dyDescent="0.25">
      <c r="H216" s="91"/>
      <c r="I216" s="91"/>
      <c r="J216" s="97"/>
      <c r="K216" s="79"/>
      <c r="L216" s="79"/>
      <c r="M216" s="79" t="str">
        <f>Table728182243240485664[[#This Row],[DBA]]&amp;" - "&amp;Table728182243240485664[[#This Row],[BIN]]&amp;" - "&amp;Table728182243240485664[[#This Row],[CAID]]</f>
        <v xml:space="preserve"> -  - </v>
      </c>
      <c r="N216" s="90"/>
    </row>
    <row r="217" spans="8:14" x14ac:dyDescent="0.25">
      <c r="H217" s="91"/>
      <c r="I217" s="91"/>
      <c r="J217" s="97"/>
      <c r="K217" s="79"/>
      <c r="L217" s="79"/>
      <c r="M217" s="79" t="str">
        <f>Table728182243240485664[[#This Row],[DBA]]&amp;" - "&amp;Table728182243240485664[[#This Row],[BIN]]&amp;" - "&amp;Table728182243240485664[[#This Row],[CAID]]</f>
        <v xml:space="preserve"> -  - </v>
      </c>
      <c r="N217" s="90"/>
    </row>
    <row r="218" spans="8:14" x14ac:dyDescent="0.25">
      <c r="H218" s="91"/>
      <c r="I218" s="91"/>
      <c r="J218" s="97"/>
      <c r="K218" s="79"/>
      <c r="L218" s="79"/>
      <c r="M218" s="79" t="str">
        <f>Table728182243240485664[[#This Row],[DBA]]&amp;" - "&amp;Table728182243240485664[[#This Row],[BIN]]&amp;" - "&amp;Table728182243240485664[[#This Row],[CAID]]</f>
        <v xml:space="preserve"> -  - </v>
      </c>
      <c r="N218" s="90"/>
    </row>
    <row r="219" spans="8:14" x14ac:dyDescent="0.25">
      <c r="H219" s="91"/>
      <c r="I219" s="91"/>
      <c r="J219" s="97"/>
      <c r="K219" s="79"/>
      <c r="L219" s="79"/>
      <c r="M219" s="79" t="str">
        <f>Table728182243240485664[[#This Row],[DBA]]&amp;" - "&amp;Table728182243240485664[[#This Row],[BIN]]&amp;" - "&amp;Table728182243240485664[[#This Row],[CAID]]</f>
        <v xml:space="preserve"> -  - </v>
      </c>
      <c r="N219" s="90"/>
    </row>
    <row r="220" spans="8:14" x14ac:dyDescent="0.25">
      <c r="H220" s="91"/>
      <c r="I220" s="91"/>
      <c r="J220" s="97"/>
      <c r="K220" s="79"/>
      <c r="L220" s="79"/>
      <c r="M220" s="79" t="str">
        <f>Table728182243240485664[[#This Row],[DBA]]&amp;" - "&amp;Table728182243240485664[[#This Row],[BIN]]&amp;" - "&amp;Table728182243240485664[[#This Row],[CAID]]</f>
        <v xml:space="preserve"> -  - </v>
      </c>
      <c r="N220" s="90"/>
    </row>
    <row r="221" spans="8:14" x14ac:dyDescent="0.25">
      <c r="H221" s="91"/>
      <c r="I221" s="91"/>
      <c r="J221" s="97"/>
      <c r="K221" s="79"/>
      <c r="L221" s="79"/>
      <c r="M221" s="79" t="str">
        <f>Table728182243240485664[[#This Row],[DBA]]&amp;" - "&amp;Table728182243240485664[[#This Row],[BIN]]&amp;" - "&amp;Table728182243240485664[[#This Row],[CAID]]</f>
        <v xml:space="preserve"> -  - </v>
      </c>
      <c r="N221" s="90"/>
    </row>
    <row r="222" spans="8:14" x14ac:dyDescent="0.25">
      <c r="H222" s="91"/>
      <c r="I222" s="91"/>
      <c r="J222" s="97"/>
      <c r="K222" s="79"/>
      <c r="L222" s="79"/>
      <c r="M222" s="79" t="str">
        <f>Table728182243240485664[[#This Row],[DBA]]&amp;" - "&amp;Table728182243240485664[[#This Row],[BIN]]&amp;" - "&amp;Table728182243240485664[[#This Row],[CAID]]</f>
        <v xml:space="preserve"> -  - </v>
      </c>
      <c r="N222" s="90"/>
    </row>
    <row r="223" spans="8:14" x14ac:dyDescent="0.25">
      <c r="H223" s="91"/>
      <c r="I223" s="91"/>
      <c r="J223" s="97"/>
      <c r="K223" s="79"/>
      <c r="L223" s="79"/>
      <c r="M223" s="79" t="str">
        <f>Table728182243240485664[[#This Row],[DBA]]&amp;" - "&amp;Table728182243240485664[[#This Row],[BIN]]&amp;" - "&amp;Table728182243240485664[[#This Row],[CAID]]</f>
        <v xml:space="preserve"> -  - </v>
      </c>
      <c r="N223" s="90"/>
    </row>
    <row r="224" spans="8:14" x14ac:dyDescent="0.25">
      <c r="H224" s="91"/>
      <c r="I224" s="91"/>
      <c r="J224" s="97"/>
      <c r="K224" s="79"/>
      <c r="L224" s="79"/>
      <c r="M224" s="79" t="str">
        <f>Table728182243240485664[[#This Row],[DBA]]&amp;" - "&amp;Table728182243240485664[[#This Row],[BIN]]&amp;" - "&amp;Table728182243240485664[[#This Row],[CAID]]</f>
        <v xml:space="preserve"> -  - </v>
      </c>
      <c r="N224" s="90"/>
    </row>
    <row r="225" spans="8:14" x14ac:dyDescent="0.25">
      <c r="H225" s="91"/>
      <c r="I225" s="91"/>
      <c r="J225" s="97"/>
      <c r="K225" s="79"/>
      <c r="L225" s="79"/>
      <c r="M225" s="79" t="str">
        <f>Table728182243240485664[[#This Row],[DBA]]&amp;" - "&amp;Table728182243240485664[[#This Row],[BIN]]&amp;" - "&amp;Table728182243240485664[[#This Row],[CAID]]</f>
        <v xml:space="preserve"> -  - </v>
      </c>
      <c r="N225" s="90"/>
    </row>
    <row r="226" spans="8:14" x14ac:dyDescent="0.25">
      <c r="H226" s="91"/>
      <c r="I226" s="91"/>
      <c r="J226" s="97"/>
      <c r="K226" s="79"/>
      <c r="L226" s="79"/>
      <c r="M226" s="79" t="str">
        <f>Table728182243240485664[[#This Row],[DBA]]&amp;" - "&amp;Table728182243240485664[[#This Row],[BIN]]&amp;" - "&amp;Table728182243240485664[[#This Row],[CAID]]</f>
        <v xml:space="preserve"> -  - </v>
      </c>
      <c r="N226" s="90"/>
    </row>
    <row r="227" spans="8:14" x14ac:dyDescent="0.25">
      <c r="H227" s="91"/>
      <c r="I227" s="91"/>
      <c r="J227" s="97"/>
      <c r="K227" s="79"/>
      <c r="L227" s="79"/>
      <c r="M227" s="79" t="str">
        <f>Table728182243240485664[[#This Row],[DBA]]&amp;" - "&amp;Table728182243240485664[[#This Row],[BIN]]&amp;" - "&amp;Table728182243240485664[[#This Row],[CAID]]</f>
        <v xml:space="preserve"> -  - </v>
      </c>
      <c r="N227" s="90"/>
    </row>
    <row r="228" spans="8:14" x14ac:dyDescent="0.25">
      <c r="H228" s="91"/>
      <c r="I228" s="91"/>
      <c r="J228" s="97"/>
      <c r="K228" s="79"/>
      <c r="L228" s="79"/>
      <c r="M228" s="79" t="str">
        <f>Table728182243240485664[[#This Row],[DBA]]&amp;" - "&amp;Table728182243240485664[[#This Row],[BIN]]&amp;" - "&amp;Table728182243240485664[[#This Row],[CAID]]</f>
        <v xml:space="preserve"> -  - </v>
      </c>
      <c r="N228" s="90"/>
    </row>
    <row r="229" spans="8:14" x14ac:dyDescent="0.25">
      <c r="H229" s="91"/>
      <c r="I229" s="91"/>
      <c r="J229" s="97"/>
      <c r="K229" s="79"/>
      <c r="L229" s="79"/>
      <c r="M229" s="79" t="str">
        <f>Table728182243240485664[[#This Row],[DBA]]&amp;" - "&amp;Table728182243240485664[[#This Row],[BIN]]&amp;" - "&amp;Table728182243240485664[[#This Row],[CAID]]</f>
        <v xml:space="preserve"> -  - </v>
      </c>
      <c r="N229" s="90"/>
    </row>
    <row r="230" spans="8:14" x14ac:dyDescent="0.25">
      <c r="H230" s="91"/>
      <c r="I230" s="91"/>
      <c r="J230" s="97"/>
      <c r="K230" s="79"/>
      <c r="L230" s="79"/>
      <c r="M230" s="79" t="str">
        <f>Table728182243240485664[[#This Row],[DBA]]&amp;" - "&amp;Table728182243240485664[[#This Row],[BIN]]&amp;" - "&amp;Table728182243240485664[[#This Row],[CAID]]</f>
        <v xml:space="preserve"> -  - </v>
      </c>
      <c r="N230" s="90"/>
    </row>
    <row r="231" spans="8:14" x14ac:dyDescent="0.25">
      <c r="H231" s="91"/>
      <c r="I231" s="91"/>
      <c r="J231" s="97"/>
      <c r="K231" s="79"/>
      <c r="L231" s="79"/>
      <c r="M231" s="79" t="str">
        <f>Table728182243240485664[[#This Row],[DBA]]&amp;" - "&amp;Table728182243240485664[[#This Row],[BIN]]&amp;" - "&amp;Table728182243240485664[[#This Row],[CAID]]</f>
        <v xml:space="preserve"> -  - </v>
      </c>
      <c r="N231" s="90"/>
    </row>
    <row r="232" spans="8:14" x14ac:dyDescent="0.25">
      <c r="H232" s="91"/>
      <c r="I232" s="91"/>
      <c r="J232" s="97"/>
      <c r="K232" s="79"/>
      <c r="L232" s="79"/>
      <c r="M232" s="79" t="str">
        <f>Table728182243240485664[[#This Row],[DBA]]&amp;" - "&amp;Table728182243240485664[[#This Row],[BIN]]&amp;" - "&amp;Table728182243240485664[[#This Row],[CAID]]</f>
        <v xml:space="preserve"> -  - </v>
      </c>
      <c r="N232" s="90"/>
    </row>
    <row r="233" spans="8:14" x14ac:dyDescent="0.25">
      <c r="H233" s="91"/>
      <c r="I233" s="91"/>
      <c r="J233" s="97"/>
      <c r="K233" s="79"/>
      <c r="L233" s="79"/>
      <c r="M233" s="79" t="str">
        <f>Table728182243240485664[[#This Row],[DBA]]&amp;" - "&amp;Table728182243240485664[[#This Row],[BIN]]&amp;" - "&amp;Table728182243240485664[[#This Row],[CAID]]</f>
        <v xml:space="preserve"> -  - </v>
      </c>
      <c r="N233" s="90"/>
    </row>
    <row r="234" spans="8:14" x14ac:dyDescent="0.25">
      <c r="H234" s="91"/>
      <c r="I234" s="91"/>
      <c r="J234" s="97"/>
      <c r="K234" s="79"/>
      <c r="L234" s="79"/>
      <c r="M234" s="79" t="str">
        <f>Table728182243240485664[[#This Row],[DBA]]&amp;" - "&amp;Table728182243240485664[[#This Row],[BIN]]&amp;" - "&amp;Table728182243240485664[[#This Row],[CAID]]</f>
        <v xml:space="preserve"> -  - </v>
      </c>
      <c r="N234" s="90"/>
    </row>
    <row r="235" spans="8:14" x14ac:dyDescent="0.25">
      <c r="H235" s="91"/>
      <c r="I235" s="91"/>
      <c r="J235" s="97"/>
      <c r="K235" s="79"/>
      <c r="L235" s="79"/>
      <c r="M235" s="79" t="str">
        <f>Table728182243240485664[[#This Row],[DBA]]&amp;" - "&amp;Table728182243240485664[[#This Row],[BIN]]&amp;" - "&amp;Table728182243240485664[[#This Row],[CAID]]</f>
        <v xml:space="preserve"> -  - </v>
      </c>
      <c r="N235" s="90"/>
    </row>
    <row r="236" spans="8:14" x14ac:dyDescent="0.25">
      <c r="H236" s="91"/>
      <c r="I236" s="91"/>
      <c r="J236" s="97"/>
      <c r="K236" s="79"/>
      <c r="L236" s="79"/>
      <c r="M236" s="79" t="str">
        <f>Table728182243240485664[[#This Row],[DBA]]&amp;" - "&amp;Table728182243240485664[[#This Row],[BIN]]&amp;" - "&amp;Table728182243240485664[[#This Row],[CAID]]</f>
        <v xml:space="preserve"> -  - </v>
      </c>
      <c r="N236" s="90"/>
    </row>
    <row r="237" spans="8:14" x14ac:dyDescent="0.25">
      <c r="H237" s="91"/>
      <c r="I237" s="91"/>
      <c r="J237" s="97"/>
      <c r="K237" s="79"/>
      <c r="L237" s="79"/>
      <c r="M237" s="79" t="str">
        <f>Table728182243240485664[[#This Row],[DBA]]&amp;" - "&amp;Table728182243240485664[[#This Row],[BIN]]&amp;" - "&amp;Table728182243240485664[[#This Row],[CAID]]</f>
        <v xml:space="preserve"> -  - </v>
      </c>
      <c r="N237" s="90"/>
    </row>
    <row r="238" spans="8:14" x14ac:dyDescent="0.25">
      <c r="H238" s="91"/>
      <c r="I238" s="91"/>
      <c r="J238" s="97"/>
      <c r="K238" s="79"/>
      <c r="L238" s="79"/>
      <c r="M238" s="79" t="str">
        <f>Table728182243240485664[[#This Row],[DBA]]&amp;" - "&amp;Table728182243240485664[[#This Row],[BIN]]&amp;" - "&amp;Table728182243240485664[[#This Row],[CAID]]</f>
        <v xml:space="preserve"> -  - </v>
      </c>
      <c r="N238" s="90"/>
    </row>
    <row r="239" spans="8:14" x14ac:dyDescent="0.25">
      <c r="H239" s="91"/>
      <c r="I239" s="91"/>
      <c r="J239" s="97"/>
      <c r="K239" s="79"/>
      <c r="L239" s="79"/>
      <c r="M239" s="79" t="str">
        <f>Table728182243240485664[[#This Row],[DBA]]&amp;" - "&amp;Table728182243240485664[[#This Row],[BIN]]&amp;" - "&amp;Table728182243240485664[[#This Row],[CAID]]</f>
        <v xml:space="preserve"> -  - </v>
      </c>
      <c r="N239" s="90"/>
    </row>
    <row r="240" spans="8:14" x14ac:dyDescent="0.25">
      <c r="H240" s="91"/>
      <c r="I240" s="91"/>
      <c r="J240" s="97"/>
      <c r="K240" s="79"/>
      <c r="L240" s="79"/>
      <c r="M240" s="79" t="str">
        <f>Table728182243240485664[[#This Row],[DBA]]&amp;" - "&amp;Table728182243240485664[[#This Row],[BIN]]&amp;" - "&amp;Table728182243240485664[[#This Row],[CAID]]</f>
        <v xml:space="preserve"> -  - </v>
      </c>
      <c r="N240" s="90"/>
    </row>
    <row r="241" spans="8:14" x14ac:dyDescent="0.25">
      <c r="H241" s="91"/>
      <c r="I241" s="91"/>
      <c r="J241" s="97"/>
      <c r="K241" s="79"/>
      <c r="L241" s="79"/>
      <c r="M241" s="79" t="str">
        <f>Table728182243240485664[[#This Row],[DBA]]&amp;" - "&amp;Table728182243240485664[[#This Row],[BIN]]&amp;" - "&amp;Table728182243240485664[[#This Row],[CAID]]</f>
        <v xml:space="preserve"> -  - </v>
      </c>
      <c r="N241" s="90"/>
    </row>
    <row r="242" spans="8:14" x14ac:dyDescent="0.25">
      <c r="H242" s="91"/>
      <c r="I242" s="91"/>
      <c r="J242" s="97"/>
      <c r="K242" s="79"/>
      <c r="L242" s="79"/>
      <c r="M242" s="79" t="str">
        <f>Table728182243240485664[[#This Row],[DBA]]&amp;" - "&amp;Table728182243240485664[[#This Row],[BIN]]&amp;" - "&amp;Table728182243240485664[[#This Row],[CAID]]</f>
        <v xml:space="preserve"> -  - </v>
      </c>
      <c r="N242" s="90"/>
    </row>
    <row r="243" spans="8:14" x14ac:dyDescent="0.25">
      <c r="H243" s="91"/>
      <c r="I243" s="91"/>
      <c r="J243" s="97"/>
      <c r="K243" s="79"/>
      <c r="L243" s="79"/>
      <c r="M243" s="79" t="str">
        <f>Table728182243240485664[[#This Row],[DBA]]&amp;" - "&amp;Table728182243240485664[[#This Row],[BIN]]&amp;" - "&amp;Table728182243240485664[[#This Row],[CAID]]</f>
        <v xml:space="preserve"> -  - </v>
      </c>
      <c r="N243" s="90"/>
    </row>
    <row r="244" spans="8:14" x14ac:dyDescent="0.25">
      <c r="H244" s="91"/>
      <c r="I244" s="91"/>
      <c r="J244" s="97"/>
      <c r="K244" s="79"/>
      <c r="L244" s="79"/>
      <c r="M244" s="79" t="str">
        <f>Table728182243240485664[[#This Row],[DBA]]&amp;" - "&amp;Table728182243240485664[[#This Row],[BIN]]&amp;" - "&amp;Table728182243240485664[[#This Row],[CAID]]</f>
        <v xml:space="preserve"> -  - </v>
      </c>
      <c r="N244" s="90"/>
    </row>
    <row r="245" spans="8:14" x14ac:dyDescent="0.25">
      <c r="H245" s="91"/>
      <c r="I245" s="91"/>
      <c r="J245" s="97"/>
      <c r="K245" s="79"/>
      <c r="L245" s="79"/>
      <c r="M245" s="79" t="str">
        <f>Table728182243240485664[[#This Row],[DBA]]&amp;" - "&amp;Table728182243240485664[[#This Row],[BIN]]&amp;" - "&amp;Table728182243240485664[[#This Row],[CAID]]</f>
        <v xml:space="preserve"> -  - </v>
      </c>
      <c r="N245" s="90"/>
    </row>
    <row r="246" spans="8:14" x14ac:dyDescent="0.25">
      <c r="H246" s="91"/>
      <c r="I246" s="91"/>
      <c r="J246" s="97"/>
      <c r="K246" s="79"/>
      <c r="L246" s="79"/>
      <c r="M246" s="79" t="str">
        <f>Table728182243240485664[[#This Row],[DBA]]&amp;" - "&amp;Table728182243240485664[[#This Row],[BIN]]&amp;" - "&amp;Table728182243240485664[[#This Row],[CAID]]</f>
        <v xml:space="preserve"> -  - </v>
      </c>
      <c r="N246" s="90"/>
    </row>
    <row r="247" spans="8:14" x14ac:dyDescent="0.25">
      <c r="H247" s="91"/>
      <c r="I247" s="91"/>
      <c r="J247" s="97"/>
      <c r="K247" s="79"/>
      <c r="L247" s="79"/>
      <c r="M247" s="79" t="str">
        <f>Table728182243240485664[[#This Row],[DBA]]&amp;" - "&amp;Table728182243240485664[[#This Row],[BIN]]&amp;" - "&amp;Table728182243240485664[[#This Row],[CAID]]</f>
        <v xml:space="preserve"> -  - </v>
      </c>
      <c r="N247" s="90"/>
    </row>
    <row r="248" spans="8:14" x14ac:dyDescent="0.25">
      <c r="H248" s="91"/>
      <c r="I248" s="91"/>
      <c r="J248" s="97"/>
      <c r="K248" s="79"/>
      <c r="L248" s="79"/>
      <c r="M248" s="79" t="str">
        <f>Table728182243240485664[[#This Row],[DBA]]&amp;" - "&amp;Table728182243240485664[[#This Row],[BIN]]&amp;" - "&amp;Table728182243240485664[[#This Row],[CAID]]</f>
        <v xml:space="preserve"> -  - </v>
      </c>
      <c r="N248" s="90"/>
    </row>
    <row r="249" spans="8:14" x14ac:dyDescent="0.25">
      <c r="H249" s="91"/>
      <c r="I249" s="91"/>
      <c r="J249" s="97"/>
      <c r="K249" s="79"/>
      <c r="L249" s="79"/>
      <c r="M249" s="79" t="str">
        <f>Table728182243240485664[[#This Row],[DBA]]&amp;" - "&amp;Table728182243240485664[[#This Row],[BIN]]&amp;" - "&amp;Table728182243240485664[[#This Row],[CAID]]</f>
        <v xml:space="preserve"> -  - </v>
      </c>
      <c r="N249" s="90"/>
    </row>
    <row r="250" spans="8:14" x14ac:dyDescent="0.25">
      <c r="H250" s="91"/>
      <c r="I250" s="91"/>
      <c r="J250" s="97"/>
      <c r="K250" s="79"/>
      <c r="L250" s="79"/>
      <c r="M250" s="79" t="str">
        <f>Table728182243240485664[[#This Row],[DBA]]&amp;" - "&amp;Table728182243240485664[[#This Row],[BIN]]&amp;" - "&amp;Table728182243240485664[[#This Row],[CAID]]</f>
        <v xml:space="preserve"> -  - </v>
      </c>
      <c r="N250" s="90"/>
    </row>
    <row r="251" spans="8:14" x14ac:dyDescent="0.25">
      <c r="H251" s="91"/>
      <c r="I251" s="91"/>
      <c r="J251" s="97"/>
      <c r="K251" s="79"/>
      <c r="L251" s="79"/>
      <c r="M251" s="79" t="str">
        <f>Table728182243240485664[[#This Row],[DBA]]&amp;" - "&amp;Table728182243240485664[[#This Row],[BIN]]&amp;" - "&amp;Table728182243240485664[[#This Row],[CAID]]</f>
        <v xml:space="preserve"> -  - </v>
      </c>
      <c r="N251" s="90"/>
    </row>
    <row r="252" spans="8:14" x14ac:dyDescent="0.25">
      <c r="H252" s="91"/>
      <c r="I252" s="91"/>
      <c r="J252" s="97"/>
      <c r="K252" s="79"/>
      <c r="L252" s="79"/>
      <c r="M252" s="79" t="str">
        <f>Table728182243240485664[[#This Row],[DBA]]&amp;" - "&amp;Table728182243240485664[[#This Row],[BIN]]&amp;" - "&amp;Table728182243240485664[[#This Row],[CAID]]</f>
        <v xml:space="preserve"> -  - </v>
      </c>
      <c r="N252" s="90"/>
    </row>
    <row r="253" spans="8:14" x14ac:dyDescent="0.25">
      <c r="H253" s="91"/>
      <c r="I253" s="91"/>
      <c r="J253" s="97"/>
      <c r="K253" s="79"/>
      <c r="L253" s="79"/>
      <c r="M253" s="79" t="str">
        <f>Table728182243240485664[[#This Row],[DBA]]&amp;" - "&amp;Table728182243240485664[[#This Row],[BIN]]&amp;" - "&amp;Table728182243240485664[[#This Row],[CAID]]</f>
        <v xml:space="preserve"> -  - </v>
      </c>
      <c r="N253" s="90"/>
    </row>
    <row r="254" spans="8:14" x14ac:dyDescent="0.25">
      <c r="H254" s="91"/>
      <c r="I254" s="91"/>
      <c r="J254" s="97"/>
      <c r="K254" s="79"/>
      <c r="L254" s="79"/>
      <c r="M254" s="79" t="str">
        <f>Table728182243240485664[[#This Row],[DBA]]&amp;" - "&amp;Table728182243240485664[[#This Row],[BIN]]&amp;" - "&amp;Table728182243240485664[[#This Row],[CAID]]</f>
        <v xml:space="preserve"> -  - </v>
      </c>
      <c r="N254" s="90"/>
    </row>
    <row r="255" spans="8:14" x14ac:dyDescent="0.25">
      <c r="H255" s="91"/>
      <c r="I255" s="91"/>
      <c r="J255" s="97"/>
      <c r="K255" s="79"/>
      <c r="L255" s="79"/>
      <c r="M255" s="79" t="str">
        <f>Table728182243240485664[[#This Row],[DBA]]&amp;" - "&amp;Table728182243240485664[[#This Row],[BIN]]&amp;" - "&amp;Table728182243240485664[[#This Row],[CAID]]</f>
        <v xml:space="preserve"> -  - </v>
      </c>
      <c r="N255" s="90"/>
    </row>
    <row r="256" spans="8:14" x14ac:dyDescent="0.25">
      <c r="H256" s="91"/>
      <c r="I256" s="91"/>
      <c r="J256" s="97"/>
      <c r="K256" s="79"/>
      <c r="L256" s="79"/>
      <c r="M256" s="79" t="str">
        <f>Table728182243240485664[[#This Row],[DBA]]&amp;" - "&amp;Table728182243240485664[[#This Row],[BIN]]&amp;" - "&amp;Table728182243240485664[[#This Row],[CAID]]</f>
        <v xml:space="preserve"> -  - </v>
      </c>
      <c r="N256" s="90"/>
    </row>
    <row r="257" spans="8:14" x14ac:dyDescent="0.25">
      <c r="H257" s="91"/>
      <c r="I257" s="91"/>
      <c r="J257" s="97"/>
      <c r="K257" s="79"/>
      <c r="L257" s="79"/>
      <c r="M257" s="79" t="str">
        <f>Table728182243240485664[[#This Row],[DBA]]&amp;" - "&amp;Table728182243240485664[[#This Row],[BIN]]&amp;" - "&amp;Table728182243240485664[[#This Row],[CAID]]</f>
        <v xml:space="preserve"> -  - </v>
      </c>
      <c r="N257" s="90"/>
    </row>
    <row r="258" spans="8:14" x14ac:dyDescent="0.25">
      <c r="H258" s="91"/>
      <c r="I258" s="91"/>
      <c r="J258" s="97"/>
      <c r="K258" s="79"/>
      <c r="L258" s="79"/>
      <c r="M258" s="79" t="str">
        <f>Table728182243240485664[[#This Row],[DBA]]&amp;" - "&amp;Table728182243240485664[[#This Row],[BIN]]&amp;" - "&amp;Table728182243240485664[[#This Row],[CAID]]</f>
        <v xml:space="preserve"> -  - </v>
      </c>
      <c r="N258" s="90"/>
    </row>
    <row r="259" spans="8:14" x14ac:dyDescent="0.25">
      <c r="H259" s="91"/>
      <c r="I259" s="91"/>
      <c r="J259" s="97"/>
      <c r="K259" s="79"/>
      <c r="L259" s="79"/>
      <c r="M259" s="79" t="str">
        <f>Table728182243240485664[[#This Row],[DBA]]&amp;" - "&amp;Table728182243240485664[[#This Row],[BIN]]&amp;" - "&amp;Table728182243240485664[[#This Row],[CAID]]</f>
        <v xml:space="preserve"> -  - </v>
      </c>
      <c r="N259" s="90"/>
    </row>
    <row r="260" spans="8:14" x14ac:dyDescent="0.25">
      <c r="H260" s="91"/>
      <c r="I260" s="91"/>
      <c r="J260" s="97"/>
      <c r="K260" s="79"/>
      <c r="L260" s="79"/>
      <c r="M260" s="79" t="str">
        <f>Table728182243240485664[[#This Row],[DBA]]&amp;" - "&amp;Table728182243240485664[[#This Row],[BIN]]&amp;" - "&amp;Table728182243240485664[[#This Row],[CAID]]</f>
        <v xml:space="preserve"> -  - </v>
      </c>
      <c r="N260" s="90"/>
    </row>
    <row r="261" spans="8:14" x14ac:dyDescent="0.25">
      <c r="H261" s="91"/>
      <c r="I261" s="91"/>
      <c r="J261" s="97"/>
      <c r="K261" s="79"/>
      <c r="L261" s="79"/>
      <c r="M261" s="79" t="str">
        <f>Table728182243240485664[[#This Row],[DBA]]&amp;" - "&amp;Table728182243240485664[[#This Row],[BIN]]&amp;" - "&amp;Table728182243240485664[[#This Row],[CAID]]</f>
        <v xml:space="preserve"> -  - </v>
      </c>
      <c r="N261" s="90"/>
    </row>
    <row r="262" spans="8:14" x14ac:dyDescent="0.25">
      <c r="H262" s="91"/>
      <c r="I262" s="91"/>
      <c r="J262" s="97"/>
      <c r="K262" s="79"/>
      <c r="L262" s="79"/>
      <c r="M262" s="79" t="str">
        <f>Table728182243240485664[[#This Row],[DBA]]&amp;" - "&amp;Table728182243240485664[[#This Row],[BIN]]&amp;" - "&amp;Table728182243240485664[[#This Row],[CAID]]</f>
        <v xml:space="preserve"> -  - </v>
      </c>
      <c r="N262" s="90"/>
    </row>
    <row r="263" spans="8:14" x14ac:dyDescent="0.25">
      <c r="H263" s="91"/>
      <c r="I263" s="91"/>
      <c r="J263" s="97"/>
      <c r="K263" s="79"/>
      <c r="L263" s="79"/>
      <c r="M263" s="79" t="str">
        <f>Table728182243240485664[[#This Row],[DBA]]&amp;" - "&amp;Table728182243240485664[[#This Row],[BIN]]&amp;" - "&amp;Table728182243240485664[[#This Row],[CAID]]</f>
        <v xml:space="preserve"> -  - </v>
      </c>
      <c r="N263" s="90"/>
    </row>
    <row r="264" spans="8:14" x14ac:dyDescent="0.25">
      <c r="H264" s="91"/>
      <c r="I264" s="91"/>
      <c r="J264" s="97"/>
      <c r="K264" s="79"/>
      <c r="L264" s="79"/>
      <c r="M264" s="79" t="str">
        <f>Table728182243240485664[[#This Row],[DBA]]&amp;" - "&amp;Table728182243240485664[[#This Row],[BIN]]&amp;" - "&amp;Table728182243240485664[[#This Row],[CAID]]</f>
        <v xml:space="preserve"> -  - </v>
      </c>
      <c r="N264" s="90"/>
    </row>
    <row r="265" spans="8:14" x14ac:dyDescent="0.25">
      <c r="H265" s="91"/>
      <c r="I265" s="91"/>
      <c r="J265" s="97"/>
      <c r="K265" s="79"/>
      <c r="L265" s="79"/>
      <c r="M265" s="79" t="str">
        <f>Table728182243240485664[[#This Row],[DBA]]&amp;" - "&amp;Table728182243240485664[[#This Row],[BIN]]&amp;" - "&amp;Table728182243240485664[[#This Row],[CAID]]</f>
        <v xml:space="preserve"> -  - </v>
      </c>
      <c r="N265" s="90"/>
    </row>
    <row r="266" spans="8:14" x14ac:dyDescent="0.25">
      <c r="H266" s="91"/>
      <c r="I266" s="91"/>
      <c r="J266" s="97"/>
      <c r="K266" s="79"/>
      <c r="L266" s="79"/>
      <c r="M266" s="79" t="str">
        <f>Table728182243240485664[[#This Row],[DBA]]&amp;" - "&amp;Table728182243240485664[[#This Row],[BIN]]&amp;" - "&amp;Table728182243240485664[[#This Row],[CAID]]</f>
        <v xml:space="preserve"> -  - </v>
      </c>
      <c r="N266" s="90"/>
    </row>
    <row r="267" spans="8:14" x14ac:dyDescent="0.25">
      <c r="H267" s="91"/>
      <c r="I267" s="91"/>
      <c r="J267" s="97"/>
      <c r="K267" s="79"/>
      <c r="L267" s="79"/>
      <c r="M267" s="79" t="str">
        <f>Table728182243240485664[[#This Row],[DBA]]&amp;" - "&amp;Table728182243240485664[[#This Row],[BIN]]&amp;" - "&amp;Table728182243240485664[[#This Row],[CAID]]</f>
        <v xml:space="preserve"> -  - </v>
      </c>
      <c r="N267" s="90"/>
    </row>
    <row r="268" spans="8:14" x14ac:dyDescent="0.25">
      <c r="H268" s="91"/>
      <c r="I268" s="91"/>
      <c r="J268" s="97"/>
      <c r="K268" s="79"/>
      <c r="L268" s="79"/>
      <c r="M268" s="79" t="str">
        <f>Table728182243240485664[[#This Row],[DBA]]&amp;" - "&amp;Table728182243240485664[[#This Row],[BIN]]&amp;" - "&amp;Table728182243240485664[[#This Row],[CAID]]</f>
        <v xml:space="preserve"> -  - </v>
      </c>
      <c r="N268" s="90"/>
    </row>
    <row r="269" spans="8:14" x14ac:dyDescent="0.25">
      <c r="H269" s="91"/>
      <c r="I269" s="91"/>
      <c r="J269" s="97"/>
      <c r="K269" s="79"/>
      <c r="L269" s="79"/>
      <c r="M269" s="79" t="str">
        <f>Table728182243240485664[[#This Row],[DBA]]&amp;" - "&amp;Table728182243240485664[[#This Row],[BIN]]&amp;" - "&amp;Table728182243240485664[[#This Row],[CAID]]</f>
        <v xml:space="preserve"> -  - </v>
      </c>
      <c r="N269" s="90"/>
    </row>
    <row r="270" spans="8:14" x14ac:dyDescent="0.25">
      <c r="H270" s="91"/>
      <c r="I270" s="91"/>
      <c r="J270" s="97"/>
      <c r="K270" s="79"/>
      <c r="L270" s="79"/>
      <c r="M270" s="79" t="str">
        <f>Table728182243240485664[[#This Row],[DBA]]&amp;" - "&amp;Table728182243240485664[[#This Row],[BIN]]&amp;" - "&amp;Table728182243240485664[[#This Row],[CAID]]</f>
        <v xml:space="preserve"> -  - </v>
      </c>
      <c r="N270" s="90"/>
    </row>
    <row r="271" spans="8:14" x14ac:dyDescent="0.25">
      <c r="H271" s="91"/>
      <c r="I271" s="91"/>
      <c r="J271" s="97"/>
      <c r="K271" s="79"/>
      <c r="L271" s="79"/>
      <c r="M271" s="79" t="str">
        <f>Table728182243240485664[[#This Row],[DBA]]&amp;" - "&amp;Table728182243240485664[[#This Row],[BIN]]&amp;" - "&amp;Table728182243240485664[[#This Row],[CAID]]</f>
        <v xml:space="preserve"> -  - </v>
      </c>
      <c r="N271" s="90"/>
    </row>
    <row r="272" spans="8:14" x14ac:dyDescent="0.25">
      <c r="H272" s="91"/>
      <c r="I272" s="91"/>
      <c r="J272" s="97"/>
      <c r="K272" s="79"/>
      <c r="L272" s="79"/>
      <c r="M272" s="79" t="str">
        <f>Table728182243240485664[[#This Row],[DBA]]&amp;" - "&amp;Table728182243240485664[[#This Row],[BIN]]&amp;" - "&amp;Table728182243240485664[[#This Row],[CAID]]</f>
        <v xml:space="preserve"> -  - </v>
      </c>
      <c r="N272" s="90"/>
    </row>
    <row r="273" spans="8:14" x14ac:dyDescent="0.25">
      <c r="H273" s="91"/>
      <c r="I273" s="91"/>
      <c r="J273" s="97"/>
      <c r="K273" s="79"/>
      <c r="L273" s="79"/>
      <c r="M273" s="79" t="str">
        <f>Table728182243240485664[[#This Row],[DBA]]&amp;" - "&amp;Table728182243240485664[[#This Row],[BIN]]&amp;" - "&amp;Table728182243240485664[[#This Row],[CAID]]</f>
        <v xml:space="preserve"> -  - </v>
      </c>
      <c r="N273" s="90"/>
    </row>
    <row r="274" spans="8:14" x14ac:dyDescent="0.25">
      <c r="H274" s="91"/>
      <c r="I274" s="91"/>
      <c r="J274" s="97"/>
      <c r="K274" s="79"/>
      <c r="L274" s="79"/>
      <c r="M274" s="79" t="str">
        <f>Table728182243240485664[[#This Row],[DBA]]&amp;" - "&amp;Table728182243240485664[[#This Row],[BIN]]&amp;" - "&amp;Table728182243240485664[[#This Row],[CAID]]</f>
        <v xml:space="preserve"> -  - </v>
      </c>
      <c r="N274" s="90"/>
    </row>
    <row r="275" spans="8:14" x14ac:dyDescent="0.25">
      <c r="H275" s="91"/>
      <c r="I275" s="91"/>
      <c r="J275" s="97"/>
      <c r="K275" s="79"/>
      <c r="L275" s="79"/>
      <c r="M275" s="79" t="str">
        <f>Table728182243240485664[[#This Row],[DBA]]&amp;" - "&amp;Table728182243240485664[[#This Row],[BIN]]&amp;" - "&amp;Table728182243240485664[[#This Row],[CAID]]</f>
        <v xml:space="preserve"> -  - </v>
      </c>
      <c r="N275" s="90"/>
    </row>
    <row r="276" spans="8:14" x14ac:dyDescent="0.25">
      <c r="H276" s="91"/>
      <c r="I276" s="91"/>
      <c r="J276" s="97"/>
      <c r="K276" s="79"/>
      <c r="L276" s="79"/>
      <c r="M276" s="79" t="str">
        <f>Table728182243240485664[[#This Row],[DBA]]&amp;" - "&amp;Table728182243240485664[[#This Row],[BIN]]&amp;" - "&amp;Table728182243240485664[[#This Row],[CAID]]</f>
        <v xml:space="preserve"> -  - </v>
      </c>
      <c r="N276" s="90"/>
    </row>
    <row r="277" spans="8:14" x14ac:dyDescent="0.25">
      <c r="H277" s="91"/>
      <c r="I277" s="91"/>
      <c r="J277" s="97"/>
      <c r="K277" s="79"/>
      <c r="L277" s="79"/>
      <c r="M277" s="79" t="str">
        <f>Table728182243240485664[[#This Row],[DBA]]&amp;" - "&amp;Table728182243240485664[[#This Row],[BIN]]&amp;" - "&amp;Table728182243240485664[[#This Row],[CAID]]</f>
        <v xml:space="preserve"> -  - </v>
      </c>
      <c r="N277" s="90"/>
    </row>
    <row r="278" spans="8:14" x14ac:dyDescent="0.25">
      <c r="H278" s="91"/>
      <c r="I278" s="91"/>
      <c r="J278" s="97"/>
      <c r="K278" s="79"/>
      <c r="L278" s="79"/>
      <c r="M278" s="79" t="str">
        <f>Table728182243240485664[[#This Row],[DBA]]&amp;" - "&amp;Table728182243240485664[[#This Row],[BIN]]&amp;" - "&amp;Table728182243240485664[[#This Row],[CAID]]</f>
        <v xml:space="preserve"> -  - </v>
      </c>
      <c r="N278" s="90"/>
    </row>
    <row r="279" spans="8:14" x14ac:dyDescent="0.25">
      <c r="H279" s="91"/>
      <c r="I279" s="91"/>
      <c r="J279" s="97"/>
      <c r="K279" s="79"/>
      <c r="L279" s="79"/>
      <c r="M279" s="79" t="str">
        <f>Table728182243240485664[[#This Row],[DBA]]&amp;" - "&amp;Table728182243240485664[[#This Row],[BIN]]&amp;" - "&amp;Table728182243240485664[[#This Row],[CAID]]</f>
        <v xml:space="preserve"> -  - </v>
      </c>
      <c r="N279" s="90"/>
    </row>
    <row r="280" spans="8:14" x14ac:dyDescent="0.25">
      <c r="H280" s="91"/>
      <c r="I280" s="91"/>
      <c r="J280" s="97"/>
      <c r="K280" s="79"/>
      <c r="L280" s="79"/>
      <c r="M280" s="79" t="str">
        <f>Table728182243240485664[[#This Row],[DBA]]&amp;" - "&amp;Table728182243240485664[[#This Row],[BIN]]&amp;" - "&amp;Table728182243240485664[[#This Row],[CAID]]</f>
        <v xml:space="preserve"> -  - </v>
      </c>
      <c r="N280" s="90"/>
    </row>
    <row r="281" spans="8:14" x14ac:dyDescent="0.25">
      <c r="H281" s="91"/>
      <c r="I281" s="91"/>
      <c r="J281" s="97"/>
      <c r="K281" s="79"/>
      <c r="L281" s="79"/>
      <c r="M281" s="79" t="str">
        <f>Table728182243240485664[[#This Row],[DBA]]&amp;" - "&amp;Table728182243240485664[[#This Row],[BIN]]&amp;" - "&amp;Table728182243240485664[[#This Row],[CAID]]</f>
        <v xml:space="preserve"> -  - </v>
      </c>
      <c r="N281" s="90"/>
    </row>
    <row r="282" spans="8:14" x14ac:dyDescent="0.25">
      <c r="H282" s="91"/>
      <c r="I282" s="91"/>
      <c r="J282" s="97"/>
      <c r="K282" s="79"/>
      <c r="L282" s="79"/>
      <c r="M282" s="79" t="str">
        <f>Table728182243240485664[[#This Row],[DBA]]&amp;" - "&amp;Table728182243240485664[[#This Row],[BIN]]&amp;" - "&amp;Table728182243240485664[[#This Row],[CAID]]</f>
        <v xml:space="preserve"> -  - </v>
      </c>
      <c r="N282" s="90"/>
    </row>
    <row r="283" spans="8:14" x14ac:dyDescent="0.25">
      <c r="H283" s="91"/>
      <c r="I283" s="91"/>
      <c r="J283" s="97"/>
      <c r="K283" s="79"/>
      <c r="L283" s="79"/>
      <c r="M283" s="79" t="str">
        <f>Table728182243240485664[[#This Row],[DBA]]&amp;" - "&amp;Table728182243240485664[[#This Row],[BIN]]&amp;" - "&amp;Table728182243240485664[[#This Row],[CAID]]</f>
        <v xml:space="preserve"> -  - </v>
      </c>
      <c r="N283" s="90"/>
    </row>
    <row r="284" spans="8:14" x14ac:dyDescent="0.25">
      <c r="H284" s="91"/>
      <c r="I284" s="91"/>
      <c r="J284" s="97"/>
      <c r="K284" s="79"/>
      <c r="L284" s="79"/>
      <c r="M284" s="79" t="str">
        <f>Table728182243240485664[[#This Row],[DBA]]&amp;" - "&amp;Table728182243240485664[[#This Row],[BIN]]&amp;" - "&amp;Table728182243240485664[[#This Row],[CAID]]</f>
        <v xml:space="preserve"> -  - </v>
      </c>
      <c r="N284" s="90"/>
    </row>
    <row r="285" spans="8:14" x14ac:dyDescent="0.25">
      <c r="H285" s="91"/>
      <c r="I285" s="91"/>
      <c r="J285" s="97"/>
      <c r="K285" s="79"/>
      <c r="L285" s="79"/>
      <c r="M285" s="79" t="str">
        <f>Table728182243240485664[[#This Row],[DBA]]&amp;" - "&amp;Table728182243240485664[[#This Row],[BIN]]&amp;" - "&amp;Table728182243240485664[[#This Row],[CAID]]</f>
        <v xml:space="preserve"> -  - </v>
      </c>
      <c r="N285" s="90"/>
    </row>
    <row r="286" spans="8:14" x14ac:dyDescent="0.25">
      <c r="H286" s="91"/>
      <c r="I286" s="91"/>
      <c r="J286" s="97"/>
      <c r="K286" s="79"/>
      <c r="L286" s="79"/>
      <c r="M286" s="79" t="str">
        <f>Table728182243240485664[[#This Row],[DBA]]&amp;" - "&amp;Table728182243240485664[[#This Row],[BIN]]&amp;" - "&amp;Table728182243240485664[[#This Row],[CAID]]</f>
        <v xml:space="preserve"> -  - </v>
      </c>
      <c r="N286" s="90"/>
    </row>
    <row r="287" spans="8:14" x14ac:dyDescent="0.25">
      <c r="H287" s="91"/>
      <c r="I287" s="91"/>
      <c r="J287" s="97"/>
      <c r="K287" s="79"/>
      <c r="L287" s="79"/>
      <c r="M287" s="79" t="str">
        <f>Table728182243240485664[[#This Row],[DBA]]&amp;" - "&amp;Table728182243240485664[[#This Row],[BIN]]&amp;" - "&amp;Table728182243240485664[[#This Row],[CAID]]</f>
        <v xml:space="preserve"> -  - </v>
      </c>
      <c r="N287" s="90"/>
    </row>
    <row r="288" spans="8:14" x14ac:dyDescent="0.25">
      <c r="H288" s="91"/>
      <c r="I288" s="91"/>
      <c r="J288" s="97"/>
      <c r="K288" s="79"/>
      <c r="L288" s="79"/>
      <c r="M288" s="79" t="str">
        <f>Table728182243240485664[[#This Row],[DBA]]&amp;" - "&amp;Table728182243240485664[[#This Row],[BIN]]&amp;" - "&amp;Table728182243240485664[[#This Row],[CAID]]</f>
        <v xml:space="preserve"> -  - </v>
      </c>
      <c r="N288" s="90"/>
    </row>
    <row r="289" spans="8:14" x14ac:dyDescent="0.25">
      <c r="H289" s="91"/>
      <c r="I289" s="91"/>
      <c r="J289" s="97"/>
      <c r="K289" s="79"/>
      <c r="L289" s="79"/>
      <c r="M289" s="79" t="str">
        <f>Table728182243240485664[[#This Row],[DBA]]&amp;" - "&amp;Table728182243240485664[[#This Row],[BIN]]&amp;" - "&amp;Table728182243240485664[[#This Row],[CAID]]</f>
        <v xml:space="preserve"> -  - </v>
      </c>
      <c r="N289" s="90"/>
    </row>
    <row r="290" spans="8:14" x14ac:dyDescent="0.25">
      <c r="H290" s="91"/>
      <c r="I290" s="91"/>
      <c r="J290" s="97"/>
      <c r="K290" s="79"/>
      <c r="L290" s="79"/>
      <c r="M290" s="79" t="str">
        <f>Table728182243240485664[[#This Row],[DBA]]&amp;" - "&amp;Table728182243240485664[[#This Row],[BIN]]&amp;" - "&amp;Table728182243240485664[[#This Row],[CAID]]</f>
        <v xml:space="preserve"> -  - </v>
      </c>
      <c r="N290" s="90"/>
    </row>
    <row r="291" spans="8:14" x14ac:dyDescent="0.25">
      <c r="H291" s="91"/>
      <c r="I291" s="91"/>
      <c r="J291" s="97"/>
      <c r="K291" s="79"/>
      <c r="L291" s="79"/>
      <c r="M291" s="79" t="str">
        <f>Table728182243240485664[[#This Row],[DBA]]&amp;" - "&amp;Table728182243240485664[[#This Row],[BIN]]&amp;" - "&amp;Table728182243240485664[[#This Row],[CAID]]</f>
        <v xml:space="preserve"> -  - </v>
      </c>
      <c r="N291" s="90"/>
    </row>
    <row r="292" spans="8:14" x14ac:dyDescent="0.25">
      <c r="H292" s="91"/>
      <c r="I292" s="91"/>
      <c r="J292" s="97"/>
      <c r="K292" s="79"/>
      <c r="L292" s="79"/>
      <c r="M292" s="79" t="str">
        <f>Table728182243240485664[[#This Row],[DBA]]&amp;" - "&amp;Table728182243240485664[[#This Row],[BIN]]&amp;" - "&amp;Table728182243240485664[[#This Row],[CAID]]</f>
        <v xml:space="preserve"> -  - </v>
      </c>
      <c r="N292" s="90"/>
    </row>
    <row r="293" spans="8:14" x14ac:dyDescent="0.25">
      <c r="H293" s="91"/>
      <c r="I293" s="91"/>
      <c r="J293" s="97"/>
      <c r="K293" s="79"/>
      <c r="L293" s="79"/>
      <c r="M293" s="79" t="str">
        <f>Table728182243240485664[[#This Row],[DBA]]&amp;" - "&amp;Table728182243240485664[[#This Row],[BIN]]&amp;" - "&amp;Table728182243240485664[[#This Row],[CAID]]</f>
        <v xml:space="preserve"> -  - </v>
      </c>
      <c r="N293" s="90"/>
    </row>
    <row r="294" spans="8:14" x14ac:dyDescent="0.25">
      <c r="H294" s="91"/>
      <c r="I294" s="91"/>
      <c r="J294" s="97"/>
      <c r="K294" s="79"/>
      <c r="L294" s="79"/>
      <c r="M294" s="79" t="str">
        <f>Table728182243240485664[[#This Row],[DBA]]&amp;" - "&amp;Table728182243240485664[[#This Row],[BIN]]&amp;" - "&amp;Table728182243240485664[[#This Row],[CAID]]</f>
        <v xml:space="preserve"> -  - </v>
      </c>
      <c r="N294" s="90"/>
    </row>
    <row r="295" spans="8:14" x14ac:dyDescent="0.25">
      <c r="H295" s="91"/>
      <c r="I295" s="91"/>
      <c r="J295" s="97"/>
      <c r="K295" s="79"/>
      <c r="L295" s="79"/>
      <c r="M295" s="79" t="str">
        <f>Table728182243240485664[[#This Row],[DBA]]&amp;" - "&amp;Table728182243240485664[[#This Row],[BIN]]&amp;" - "&amp;Table728182243240485664[[#This Row],[CAID]]</f>
        <v xml:space="preserve"> -  - </v>
      </c>
      <c r="N295" s="90"/>
    </row>
    <row r="296" spans="8:14" x14ac:dyDescent="0.25">
      <c r="H296" s="91"/>
      <c r="I296" s="91"/>
      <c r="J296" s="97"/>
      <c r="K296" s="79"/>
      <c r="L296" s="79"/>
      <c r="M296" s="79" t="str">
        <f>Table728182243240485664[[#This Row],[DBA]]&amp;" - "&amp;Table728182243240485664[[#This Row],[BIN]]&amp;" - "&amp;Table728182243240485664[[#This Row],[CAID]]</f>
        <v xml:space="preserve"> -  - </v>
      </c>
      <c r="N296" s="90"/>
    </row>
    <row r="297" spans="8:14" x14ac:dyDescent="0.25">
      <c r="H297" s="91"/>
      <c r="I297" s="91"/>
      <c r="J297" s="97"/>
      <c r="K297" s="79"/>
      <c r="L297" s="79"/>
      <c r="M297" s="79" t="str">
        <f>Table728182243240485664[[#This Row],[DBA]]&amp;" - "&amp;Table728182243240485664[[#This Row],[BIN]]&amp;" - "&amp;Table728182243240485664[[#This Row],[CAID]]</f>
        <v xml:space="preserve"> -  - </v>
      </c>
      <c r="N297" s="90"/>
    </row>
    <row r="298" spans="8:14" x14ac:dyDescent="0.25">
      <c r="H298" s="91"/>
      <c r="I298" s="91"/>
      <c r="J298" s="97"/>
      <c r="K298" s="79"/>
      <c r="L298" s="79"/>
      <c r="M298" s="79" t="str">
        <f>Table728182243240485664[[#This Row],[DBA]]&amp;" - "&amp;Table728182243240485664[[#This Row],[BIN]]&amp;" - "&amp;Table728182243240485664[[#This Row],[CAID]]</f>
        <v xml:space="preserve"> -  - </v>
      </c>
      <c r="N298" s="90"/>
    </row>
    <row r="299" spans="8:14" x14ac:dyDescent="0.25">
      <c r="H299" s="91"/>
      <c r="I299" s="91"/>
      <c r="J299" s="97"/>
      <c r="K299" s="79"/>
      <c r="L299" s="79"/>
      <c r="M299" s="79" t="str">
        <f>Table728182243240485664[[#This Row],[DBA]]&amp;" - "&amp;Table728182243240485664[[#This Row],[BIN]]&amp;" - "&amp;Table728182243240485664[[#This Row],[CAID]]</f>
        <v xml:space="preserve"> -  - </v>
      </c>
      <c r="N299" s="90"/>
    </row>
    <row r="300" spans="8:14" x14ac:dyDescent="0.25">
      <c r="H300" s="91"/>
      <c r="I300" s="91"/>
      <c r="J300" s="97"/>
      <c r="K300" s="79"/>
      <c r="L300" s="79"/>
      <c r="M300" s="79" t="str">
        <f>Table728182243240485664[[#This Row],[DBA]]&amp;" - "&amp;Table728182243240485664[[#This Row],[BIN]]&amp;" - "&amp;Table728182243240485664[[#This Row],[CAID]]</f>
        <v xml:space="preserve"> -  - </v>
      </c>
      <c r="N300" s="90"/>
    </row>
    <row r="301" spans="8:14" x14ac:dyDescent="0.25">
      <c r="H301" s="91"/>
      <c r="I301" s="91"/>
      <c r="J301" s="97"/>
      <c r="K301" s="79"/>
      <c r="L301" s="79"/>
      <c r="M301" s="79" t="str">
        <f>Table728182243240485664[[#This Row],[DBA]]&amp;" - "&amp;Table728182243240485664[[#This Row],[BIN]]&amp;" - "&amp;Table728182243240485664[[#This Row],[CAID]]</f>
        <v xml:space="preserve"> -  - </v>
      </c>
      <c r="N301" s="90"/>
    </row>
    <row r="302" spans="8:14" x14ac:dyDescent="0.25">
      <c r="H302" s="91"/>
      <c r="I302" s="91"/>
      <c r="J302" s="97"/>
      <c r="K302" s="79"/>
      <c r="L302" s="79"/>
      <c r="M302" s="79" t="str">
        <f>Table728182243240485664[[#This Row],[DBA]]&amp;" - "&amp;Table728182243240485664[[#This Row],[BIN]]&amp;" - "&amp;Table728182243240485664[[#This Row],[CAID]]</f>
        <v xml:space="preserve"> -  - </v>
      </c>
      <c r="N302" s="90"/>
    </row>
    <row r="303" spans="8:14" x14ac:dyDescent="0.25">
      <c r="H303" s="91"/>
      <c r="I303" s="91"/>
      <c r="J303" s="97"/>
      <c r="K303" s="79"/>
      <c r="L303" s="79"/>
      <c r="M303" s="79" t="str">
        <f>Table728182243240485664[[#This Row],[DBA]]&amp;" - "&amp;Table728182243240485664[[#This Row],[BIN]]&amp;" - "&amp;Table728182243240485664[[#This Row],[CAID]]</f>
        <v xml:space="preserve"> -  - </v>
      </c>
      <c r="N303" s="90"/>
    </row>
    <row r="304" spans="8:14" x14ac:dyDescent="0.25">
      <c r="H304" s="91"/>
      <c r="I304" s="91"/>
      <c r="J304" s="97"/>
      <c r="K304" s="79"/>
      <c r="L304" s="79"/>
      <c r="M304" s="79" t="str">
        <f>Table728182243240485664[[#This Row],[DBA]]&amp;" - "&amp;Table728182243240485664[[#This Row],[BIN]]&amp;" - "&amp;Table728182243240485664[[#This Row],[CAID]]</f>
        <v xml:space="preserve"> -  - </v>
      </c>
      <c r="N304" s="90"/>
    </row>
    <row r="305" spans="8:14" x14ac:dyDescent="0.25">
      <c r="H305" s="91"/>
      <c r="I305" s="91"/>
      <c r="J305" s="97"/>
      <c r="K305" s="79"/>
      <c r="L305" s="79"/>
      <c r="M305" s="79" t="str">
        <f>Table728182243240485664[[#This Row],[DBA]]&amp;" - "&amp;Table728182243240485664[[#This Row],[BIN]]&amp;" - "&amp;Table728182243240485664[[#This Row],[CAID]]</f>
        <v xml:space="preserve"> -  - </v>
      </c>
      <c r="N305" s="90"/>
    </row>
    <row r="306" spans="8:14" x14ac:dyDescent="0.25">
      <c r="H306" s="92"/>
      <c r="I306" s="92"/>
      <c r="J306" s="97"/>
      <c r="K306" s="89"/>
      <c r="L306" s="89"/>
      <c r="M306" s="89" t="str">
        <f>Table728182243240485664[[#This Row],[DBA]]&amp;" - "&amp;Table728182243240485664[[#This Row],[BIN]]&amp;" - "&amp;Table728182243240485664[[#This Row],[CAID]]</f>
        <v xml:space="preserve"> -  - </v>
      </c>
      <c r="N306" s="90"/>
    </row>
  </sheetData>
  <mergeCells count="5">
    <mergeCell ref="C4:D4"/>
    <mergeCell ref="C6:D6"/>
    <mergeCell ref="H6:O6"/>
    <mergeCell ref="C2:D2"/>
    <mergeCell ref="C3:D3"/>
  </mergeCells>
  <dataValidations count="11">
    <dataValidation type="list" allowBlank="1" showInputMessage="1" sqref="D15 D20 D25 D30 D35 D40 D10:D11" xr:uid="{1901E205-B6BE-44EA-99E3-FEFB8D3C4E0B}">
      <formula1>INDIRECT(SUBSTITUTE(B10&amp;C10," ",""))</formula1>
    </dataValidation>
    <dataValidation type="list" allowBlank="1" showInputMessage="1" showErrorMessage="1" sqref="C15 C20 C25 C30 C35 C40 C10:C11" xr:uid="{FF06EC9B-7C95-43AB-965D-4C9748B273BB}">
      <formula1>INDIRECT(B10)</formula1>
    </dataValidation>
    <dataValidation type="list" allowBlank="1" showInputMessage="1" showErrorMessage="1" sqref="B10:B11 B15 B20 B25 B30 B35 B40" xr:uid="{91CD4A58-6DAD-438D-A199-399142C85F27}">
      <formula1>Rule</formula1>
    </dataValidation>
    <dataValidation type="textLength" allowBlank="1" showInputMessage="1" showErrorMessage="1" promptTitle="BIN" prompt="The BIN has to be 6 characters only" sqref="H9:H306" xr:uid="{BF79F076-C7FD-4F7A-8AD5-CB8C62D3653E}">
      <formula1>6</formula1>
      <formula2>6</formula2>
    </dataValidation>
    <dataValidation type="textLength" allowBlank="1" showInputMessage="1" showErrorMessage="1" promptTitle="CAID" prompt="CAID cannot be greater than 15 characters" sqref="I9:I306" xr:uid="{E008C82E-7C41-4FCB-9992-DBF71633F172}">
      <formula1>0</formula1>
      <formula2>15</formula2>
    </dataValidation>
    <dataValidation allowBlank="1" showInputMessage="1" showErrorMessage="1" promptTitle="Do not change this cell" prompt="The function attached will create the merchant name.  This is for Verifi Only" sqref="M9:M306" xr:uid="{D731D9C0-D925-47E8-BCD5-F8FAACBD3DF9}"/>
    <dataValidation type="textLength" allowBlank="1" showInputMessage="1" showErrorMessage="1" promptTitle="DBA" prompt="DBA can only be up to 20 characters" sqref="L9:L306" xr:uid="{9B687C74-B437-4706-B535-1195B4CCA972}">
      <formula1>0</formula1>
      <formula2>20</formula2>
    </dataValidation>
    <dataValidation allowBlank="1" showInputMessage="1" showErrorMessage="1" promptTitle="Merchant Category Code" prompt="This is the Merchant Category Code associated with the BIN/CAID" sqref="K9:K306" xr:uid="{F19C57A3-0967-4AE1-94A8-BB5FED3E06E4}"/>
    <dataValidation allowBlank="1" showInputMessage="1" showErrorMessage="1" promptTitle="Merchant ID" prompt="This cell contains the Merchant ID for the Merchant account.  This will be populated by Verifi" sqref="N9:N306" xr:uid="{CFD6F7B1-7359-45C0-9935-0F3BC66F3193}"/>
    <dataValidation allowBlank="1" showInputMessage="1" showErrorMessage="1" promptTitle="ARN (Acquirer Reference Number)" prompt="ARN (Acquirer Reference Number)" sqref="J9:J306" xr:uid="{AC5DE792-7E88-4803-A2F8-A5A74522B698}"/>
    <dataValidation allowBlank="1" showInputMessage="1" showErrorMessage="1" promptTitle="Rule Name" prompt="Rule Name is the rule identifier created by the seller and made available in reporting for insight into why an RDR case_x000a_was accepted. _x000a__x000a_Keep rule names short, explicit, and clear enough to be referenced in RDR communications. _x000a__x000a_" sqref="C6:D6" xr:uid="{08C52B3A-C815-41CA-9AAC-EE8C4CAB46F6}"/>
  </dataValidations>
  <pageMargins left="0.75" right="0.75" top="0.75" bottom="0.75" header="0.5" footer="0.5"/>
  <pageSetup orientation="portrait" r:id="rId1"/>
  <headerFooter alignWithMargins="0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0B8C3-2DC5-406C-8768-D5876B19C98E}">
  <dimension ref="B1:O306"/>
  <sheetViews>
    <sheetView showGridLines="0" workbookViewId="0">
      <selection activeCell="C2" sqref="C2:D2"/>
    </sheetView>
  </sheetViews>
  <sheetFormatPr defaultColWidth="8.77734375" defaultRowHeight="13.2" x14ac:dyDescent="0.25"/>
  <cols>
    <col min="1" max="1" width="2.21875" style="3" customWidth="1"/>
    <col min="2" max="2" width="24.77734375" style="3" bestFit="1" customWidth="1"/>
    <col min="3" max="3" width="22.77734375" style="3" customWidth="1"/>
    <col min="4" max="4" width="41.21875" style="3" bestFit="1" customWidth="1"/>
    <col min="5" max="5" width="13.21875" style="3" customWidth="1"/>
    <col min="6" max="6" width="8.77734375" style="3"/>
    <col min="7" max="7" width="14.44140625" style="3" customWidth="1"/>
    <col min="8" max="8" width="10.21875" style="3" customWidth="1"/>
    <col min="9" max="10" width="25.21875" style="3" customWidth="1"/>
    <col min="11" max="11" width="12.44140625" style="3" bestFit="1" customWidth="1"/>
    <col min="12" max="12" width="12.44140625" style="3" customWidth="1"/>
    <col min="13" max="13" width="34" style="3" bestFit="1" customWidth="1"/>
    <col min="14" max="14" width="28" style="3" customWidth="1"/>
    <col min="15" max="15" width="14.21875" style="3" bestFit="1" customWidth="1"/>
    <col min="16" max="16384" width="8.77734375" style="3"/>
  </cols>
  <sheetData>
    <row r="1" spans="2:15" ht="13.8" thickBot="1" x14ac:dyDescent="0.3"/>
    <row r="2" spans="2:15" ht="13.8" thickBot="1" x14ac:dyDescent="0.3">
      <c r="B2" s="100" t="s">
        <v>345</v>
      </c>
      <c r="C2" s="116" t="s">
        <v>347</v>
      </c>
      <c r="D2" s="117"/>
      <c r="I2" s="95"/>
      <c r="J2" s="95"/>
    </row>
    <row r="3" spans="2:15" ht="13.8" thickBot="1" x14ac:dyDescent="0.3">
      <c r="B3" s="101" t="s">
        <v>344</v>
      </c>
      <c r="C3" s="116">
        <v>11600</v>
      </c>
      <c r="D3" s="117"/>
      <c r="I3" s="95"/>
      <c r="J3" s="95"/>
    </row>
    <row r="4" spans="2:15" ht="13.8" thickBot="1" x14ac:dyDescent="0.3">
      <c r="B4" s="100" t="s">
        <v>332</v>
      </c>
      <c r="C4" s="112"/>
      <c r="D4" s="112"/>
      <c r="I4" s="95"/>
      <c r="J4" s="95"/>
    </row>
    <row r="5" spans="2:15" ht="13.8" thickBot="1" x14ac:dyDescent="0.3">
      <c r="B5" s="101" t="s">
        <v>343</v>
      </c>
      <c r="C5" s="102"/>
      <c r="D5" s="103"/>
      <c r="I5" s="95"/>
      <c r="J5" s="95"/>
    </row>
    <row r="6" spans="2:15" ht="13.8" thickBot="1" x14ac:dyDescent="0.3">
      <c r="B6" s="100" t="s">
        <v>334</v>
      </c>
      <c r="C6" s="112"/>
      <c r="D6" s="112"/>
      <c r="H6" s="113" t="s">
        <v>330</v>
      </c>
      <c r="I6" s="114"/>
      <c r="J6" s="114"/>
      <c r="K6" s="114"/>
      <c r="L6" s="114"/>
      <c r="M6" s="114"/>
      <c r="N6" s="114"/>
      <c r="O6" s="115"/>
    </row>
    <row r="7" spans="2:15" x14ac:dyDescent="0.25">
      <c r="B7" s="87"/>
      <c r="C7" s="87"/>
    </row>
    <row r="8" spans="2:15" ht="13.8" thickBot="1" x14ac:dyDescent="0.3">
      <c r="C8" s="13"/>
      <c r="H8" s="13" t="s">
        <v>84</v>
      </c>
      <c r="I8" s="13" t="s">
        <v>85</v>
      </c>
      <c r="J8" s="88" t="s">
        <v>342</v>
      </c>
      <c r="K8" s="88" t="s">
        <v>339</v>
      </c>
      <c r="L8" s="88" t="s">
        <v>333</v>
      </c>
      <c r="M8" s="93" t="s">
        <v>340</v>
      </c>
      <c r="N8" s="94" t="s">
        <v>341</v>
      </c>
    </row>
    <row r="9" spans="2:15" ht="18.75" customHeight="1" thickBot="1" x14ac:dyDescent="0.3">
      <c r="B9" s="80" t="s">
        <v>329</v>
      </c>
      <c r="C9" s="81" t="s">
        <v>64</v>
      </c>
      <c r="D9" s="82" t="s">
        <v>63</v>
      </c>
      <c r="H9" s="96"/>
      <c r="I9" s="96"/>
      <c r="J9" s="98"/>
      <c r="K9" s="99"/>
      <c r="L9" s="99"/>
      <c r="M9" s="90" t="str">
        <f>Table72818224324048566472[[#This Row],[DBA]]&amp;" - "&amp;Table72818224324048566472[[#This Row],[BIN]]&amp;" - "&amp;Table72818224324048566472[[#This Row],[CAID]]</f>
        <v xml:space="preserve"> -  - </v>
      </c>
      <c r="N9" s="90"/>
    </row>
    <row r="10" spans="2:15" ht="13.8" thickBot="1" x14ac:dyDescent="0.3">
      <c r="B10" s="83"/>
      <c r="C10" s="84"/>
      <c r="D10" s="83"/>
      <c r="H10" s="91"/>
      <c r="I10" s="91"/>
      <c r="J10" s="97"/>
      <c r="K10" s="79"/>
      <c r="L10" s="79"/>
      <c r="M10" s="79" t="str">
        <f>Table72818224324048566472[[#This Row],[DBA]]&amp;" - "&amp;Table72818224324048566472[[#This Row],[BIN]]&amp;" - "&amp;Table72818224324048566472[[#This Row],[CAID]]</f>
        <v xml:space="preserve"> -  - </v>
      </c>
      <c r="N10" s="90"/>
    </row>
    <row r="11" spans="2:15" x14ac:dyDescent="0.25">
      <c r="B11" s="85"/>
      <c r="C11" s="86"/>
      <c r="D11" s="85"/>
      <c r="H11" s="91"/>
      <c r="I11" s="91"/>
      <c r="J11" s="97"/>
      <c r="K11" s="79"/>
      <c r="L11" s="79"/>
      <c r="M11" s="79" t="str">
        <f>Table72818224324048566472[[#This Row],[DBA]]&amp;" - "&amp;Table72818224324048566472[[#This Row],[BIN]]&amp;" - "&amp;Table72818224324048566472[[#This Row],[CAID]]</f>
        <v xml:space="preserve"> -  - </v>
      </c>
      <c r="N11" s="90"/>
    </row>
    <row r="12" spans="2:15" x14ac:dyDescent="0.25">
      <c r="C12" s="30" t="s">
        <v>83</v>
      </c>
      <c r="H12" s="91"/>
      <c r="I12" s="91"/>
      <c r="J12" s="97"/>
      <c r="K12" s="79"/>
      <c r="L12" s="79"/>
      <c r="M12" s="79" t="str">
        <f>Table72818224324048566472[[#This Row],[DBA]]&amp;" - "&amp;Table72818224324048566472[[#This Row],[BIN]]&amp;" - "&amp;Table72818224324048566472[[#This Row],[CAID]]</f>
        <v xml:space="preserve"> -  - </v>
      </c>
      <c r="N12" s="90"/>
    </row>
    <row r="13" spans="2:15" ht="13.8" thickBot="1" x14ac:dyDescent="0.3">
      <c r="C13" s="29"/>
      <c r="H13" s="91"/>
      <c r="I13" s="91"/>
      <c r="J13" s="97"/>
      <c r="K13" s="79"/>
      <c r="L13" s="79"/>
      <c r="M13" s="79" t="str">
        <f>Table72818224324048566472[[#This Row],[DBA]]&amp;" - "&amp;Table72818224324048566472[[#This Row],[BIN]]&amp;" - "&amp;Table72818224324048566472[[#This Row],[CAID]]</f>
        <v xml:space="preserve"> -  - </v>
      </c>
      <c r="N13" s="90"/>
    </row>
    <row r="14" spans="2:15" ht="13.8" thickBot="1" x14ac:dyDescent="0.3">
      <c r="B14" s="80" t="s">
        <v>329</v>
      </c>
      <c r="C14" s="81" t="s">
        <v>64</v>
      </c>
      <c r="D14" s="82" t="s">
        <v>63</v>
      </c>
      <c r="H14" s="91"/>
      <c r="I14" s="91"/>
      <c r="J14" s="97"/>
      <c r="K14" s="79"/>
      <c r="L14" s="79"/>
      <c r="M14" s="79" t="str">
        <f>Table72818224324048566472[[#This Row],[DBA]]&amp;" - "&amp;Table72818224324048566472[[#This Row],[BIN]]&amp;" - "&amp;Table72818224324048566472[[#This Row],[CAID]]</f>
        <v xml:space="preserve"> -  - </v>
      </c>
      <c r="N14" s="90"/>
    </row>
    <row r="15" spans="2:15" ht="13.8" thickBot="1" x14ac:dyDescent="0.3">
      <c r="B15" s="83"/>
      <c r="C15" s="84"/>
      <c r="D15" s="83"/>
      <c r="H15" s="91"/>
      <c r="I15" s="91"/>
      <c r="J15" s="97"/>
      <c r="K15" s="79"/>
      <c r="L15" s="79"/>
      <c r="M15" s="79" t="str">
        <f>Table72818224324048566472[[#This Row],[DBA]]&amp;" - "&amp;Table72818224324048566472[[#This Row],[BIN]]&amp;" - "&amp;Table72818224324048566472[[#This Row],[CAID]]</f>
        <v xml:space="preserve"> -  - </v>
      </c>
      <c r="N15" s="90"/>
    </row>
    <row r="16" spans="2:15" x14ac:dyDescent="0.25">
      <c r="H16" s="91"/>
      <c r="I16" s="91"/>
      <c r="J16" s="97"/>
      <c r="K16" s="79"/>
      <c r="L16" s="79"/>
      <c r="M16" s="79" t="str">
        <f>Table72818224324048566472[[#This Row],[DBA]]&amp;" - "&amp;Table72818224324048566472[[#This Row],[BIN]]&amp;" - "&amp;Table72818224324048566472[[#This Row],[CAID]]</f>
        <v xml:space="preserve"> -  - </v>
      </c>
      <c r="N16" s="90"/>
    </row>
    <row r="17" spans="2:14" x14ac:dyDescent="0.25">
      <c r="C17" s="30" t="s">
        <v>83</v>
      </c>
      <c r="H17" s="91"/>
      <c r="I17" s="91"/>
      <c r="J17" s="97"/>
      <c r="K17" s="79"/>
      <c r="L17" s="79"/>
      <c r="M17" s="79" t="str">
        <f>Table72818224324048566472[[#This Row],[DBA]]&amp;" - "&amp;Table72818224324048566472[[#This Row],[BIN]]&amp;" - "&amp;Table72818224324048566472[[#This Row],[CAID]]</f>
        <v xml:space="preserve"> -  - </v>
      </c>
      <c r="N17" s="90"/>
    </row>
    <row r="18" spans="2:14" ht="13.8" thickBot="1" x14ac:dyDescent="0.3">
      <c r="C18" s="29"/>
      <c r="H18" s="91"/>
      <c r="I18" s="91"/>
      <c r="J18" s="97"/>
      <c r="K18" s="79"/>
      <c r="L18" s="79"/>
      <c r="M18" s="79" t="str">
        <f>Table72818224324048566472[[#This Row],[DBA]]&amp;" - "&amp;Table72818224324048566472[[#This Row],[BIN]]&amp;" - "&amp;Table72818224324048566472[[#This Row],[CAID]]</f>
        <v xml:space="preserve"> -  - </v>
      </c>
      <c r="N18" s="90"/>
    </row>
    <row r="19" spans="2:14" ht="13.8" thickBot="1" x14ac:dyDescent="0.3">
      <c r="B19" s="80" t="s">
        <v>329</v>
      </c>
      <c r="C19" s="81" t="s">
        <v>64</v>
      </c>
      <c r="D19" s="82" t="s">
        <v>63</v>
      </c>
      <c r="H19" s="91"/>
      <c r="I19" s="91"/>
      <c r="J19" s="97"/>
      <c r="K19" s="79"/>
      <c r="L19" s="79"/>
      <c r="M19" s="79" t="str">
        <f>Table72818224324048566472[[#This Row],[DBA]]&amp;" - "&amp;Table72818224324048566472[[#This Row],[BIN]]&amp;" - "&amp;Table72818224324048566472[[#This Row],[CAID]]</f>
        <v xml:space="preserve"> -  - </v>
      </c>
      <c r="N19" s="90"/>
    </row>
    <row r="20" spans="2:14" ht="13.8" thickBot="1" x14ac:dyDescent="0.3">
      <c r="B20" s="83"/>
      <c r="C20" s="84"/>
      <c r="D20" s="83"/>
      <c r="H20" s="91"/>
      <c r="I20" s="91"/>
      <c r="J20" s="97"/>
      <c r="K20" s="79"/>
      <c r="L20" s="79"/>
      <c r="M20" s="79" t="str">
        <f>Table72818224324048566472[[#This Row],[DBA]]&amp;" - "&amp;Table72818224324048566472[[#This Row],[BIN]]&amp;" - "&amp;Table72818224324048566472[[#This Row],[CAID]]</f>
        <v xml:space="preserve"> -  - </v>
      </c>
      <c r="N20" s="90"/>
    </row>
    <row r="21" spans="2:14" x14ac:dyDescent="0.25">
      <c r="H21" s="91"/>
      <c r="I21" s="91"/>
      <c r="J21" s="97"/>
      <c r="K21" s="79"/>
      <c r="L21" s="79"/>
      <c r="M21" s="79" t="str">
        <f>Table72818224324048566472[[#This Row],[DBA]]&amp;" - "&amp;Table72818224324048566472[[#This Row],[BIN]]&amp;" - "&amp;Table72818224324048566472[[#This Row],[CAID]]</f>
        <v xml:space="preserve"> -  - </v>
      </c>
      <c r="N21" s="90"/>
    </row>
    <row r="22" spans="2:14" x14ac:dyDescent="0.25">
      <c r="C22" s="30" t="s">
        <v>83</v>
      </c>
      <c r="H22" s="91"/>
      <c r="I22" s="91"/>
      <c r="J22" s="97"/>
      <c r="K22" s="79"/>
      <c r="L22" s="79"/>
      <c r="M22" s="79" t="str">
        <f>Table72818224324048566472[[#This Row],[DBA]]&amp;" - "&amp;Table72818224324048566472[[#This Row],[BIN]]&amp;" - "&amp;Table72818224324048566472[[#This Row],[CAID]]</f>
        <v xml:space="preserve"> -  - </v>
      </c>
      <c r="N22" s="90"/>
    </row>
    <row r="23" spans="2:14" ht="13.8" thickBot="1" x14ac:dyDescent="0.3">
      <c r="C23" s="29"/>
      <c r="H23" s="91"/>
      <c r="I23" s="91"/>
      <c r="J23" s="97"/>
      <c r="K23" s="79"/>
      <c r="L23" s="79"/>
      <c r="M23" s="79" t="str">
        <f>Table72818224324048566472[[#This Row],[DBA]]&amp;" - "&amp;Table72818224324048566472[[#This Row],[BIN]]&amp;" - "&amp;Table72818224324048566472[[#This Row],[CAID]]</f>
        <v xml:space="preserve"> -  - </v>
      </c>
      <c r="N23" s="90"/>
    </row>
    <row r="24" spans="2:14" ht="13.8" thickBot="1" x14ac:dyDescent="0.3">
      <c r="B24" s="80" t="s">
        <v>329</v>
      </c>
      <c r="C24" s="81" t="s">
        <v>64</v>
      </c>
      <c r="D24" s="82" t="s">
        <v>63</v>
      </c>
      <c r="H24" s="91"/>
      <c r="I24" s="91"/>
      <c r="J24" s="97"/>
      <c r="K24" s="79"/>
      <c r="L24" s="79"/>
      <c r="M24" s="79" t="str">
        <f>Table72818224324048566472[[#This Row],[DBA]]&amp;" - "&amp;Table72818224324048566472[[#This Row],[BIN]]&amp;" - "&amp;Table72818224324048566472[[#This Row],[CAID]]</f>
        <v xml:space="preserve"> -  - </v>
      </c>
      <c r="N24" s="90"/>
    </row>
    <row r="25" spans="2:14" ht="13.8" thickBot="1" x14ac:dyDescent="0.3">
      <c r="B25" s="83"/>
      <c r="C25" s="84"/>
      <c r="D25" s="83"/>
      <c r="H25" s="91"/>
      <c r="I25" s="91"/>
      <c r="J25" s="97"/>
      <c r="K25" s="79"/>
      <c r="L25" s="79"/>
      <c r="M25" s="79" t="str">
        <f>Table72818224324048566472[[#This Row],[DBA]]&amp;" - "&amp;Table72818224324048566472[[#This Row],[BIN]]&amp;" - "&amp;Table72818224324048566472[[#This Row],[CAID]]</f>
        <v xml:space="preserve"> -  - </v>
      </c>
      <c r="N25" s="90"/>
    </row>
    <row r="26" spans="2:14" x14ac:dyDescent="0.25">
      <c r="H26" s="91"/>
      <c r="I26" s="91"/>
      <c r="J26" s="97"/>
      <c r="K26" s="79"/>
      <c r="L26" s="79"/>
      <c r="M26" s="79" t="str">
        <f>Table72818224324048566472[[#This Row],[DBA]]&amp;" - "&amp;Table72818224324048566472[[#This Row],[BIN]]&amp;" - "&amp;Table72818224324048566472[[#This Row],[CAID]]</f>
        <v xml:space="preserve"> -  - </v>
      </c>
      <c r="N26" s="90"/>
    </row>
    <row r="27" spans="2:14" x14ac:dyDescent="0.25">
      <c r="C27" s="30" t="s">
        <v>83</v>
      </c>
      <c r="H27" s="91"/>
      <c r="I27" s="91"/>
      <c r="J27" s="97"/>
      <c r="K27" s="79"/>
      <c r="L27" s="79"/>
      <c r="M27" s="79" t="str">
        <f>Table72818224324048566472[[#This Row],[DBA]]&amp;" - "&amp;Table72818224324048566472[[#This Row],[BIN]]&amp;" - "&amp;Table72818224324048566472[[#This Row],[CAID]]</f>
        <v xml:space="preserve"> -  - </v>
      </c>
      <c r="N27" s="90"/>
    </row>
    <row r="28" spans="2:14" ht="13.8" thickBot="1" x14ac:dyDescent="0.3">
      <c r="C28" s="29"/>
      <c r="H28" s="91"/>
      <c r="I28" s="91"/>
      <c r="J28" s="97"/>
      <c r="K28" s="79"/>
      <c r="L28" s="79"/>
      <c r="M28" s="79" t="str">
        <f>Table72818224324048566472[[#This Row],[DBA]]&amp;" - "&amp;Table72818224324048566472[[#This Row],[BIN]]&amp;" - "&amp;Table72818224324048566472[[#This Row],[CAID]]</f>
        <v xml:space="preserve"> -  - </v>
      </c>
      <c r="N28" s="90"/>
    </row>
    <row r="29" spans="2:14" ht="13.8" thickBot="1" x14ac:dyDescent="0.3">
      <c r="B29" s="80" t="s">
        <v>329</v>
      </c>
      <c r="C29" s="81" t="s">
        <v>64</v>
      </c>
      <c r="D29" s="82" t="s">
        <v>63</v>
      </c>
      <c r="H29" s="91"/>
      <c r="I29" s="91"/>
      <c r="J29" s="97"/>
      <c r="K29" s="79"/>
      <c r="L29" s="79"/>
      <c r="M29" s="79" t="str">
        <f>Table72818224324048566472[[#This Row],[DBA]]&amp;" - "&amp;Table72818224324048566472[[#This Row],[BIN]]&amp;" - "&amp;Table72818224324048566472[[#This Row],[CAID]]</f>
        <v xml:space="preserve"> -  - </v>
      </c>
      <c r="N29" s="90"/>
    </row>
    <row r="30" spans="2:14" ht="13.8" thickBot="1" x14ac:dyDescent="0.3">
      <c r="B30" s="83"/>
      <c r="C30" s="84"/>
      <c r="D30" s="83"/>
      <c r="H30" s="91"/>
      <c r="I30" s="91"/>
      <c r="J30" s="97"/>
      <c r="K30" s="79"/>
      <c r="L30" s="79"/>
      <c r="M30" s="79" t="str">
        <f>Table72818224324048566472[[#This Row],[DBA]]&amp;" - "&amp;Table72818224324048566472[[#This Row],[BIN]]&amp;" - "&amp;Table72818224324048566472[[#This Row],[CAID]]</f>
        <v xml:space="preserve"> -  - </v>
      </c>
      <c r="N30" s="90"/>
    </row>
    <row r="31" spans="2:14" x14ac:dyDescent="0.25">
      <c r="H31" s="91"/>
      <c r="I31" s="91"/>
      <c r="J31" s="97"/>
      <c r="K31" s="79"/>
      <c r="L31" s="79"/>
      <c r="M31" s="79" t="str">
        <f>Table72818224324048566472[[#This Row],[DBA]]&amp;" - "&amp;Table72818224324048566472[[#This Row],[BIN]]&amp;" - "&amp;Table72818224324048566472[[#This Row],[CAID]]</f>
        <v xml:space="preserve"> -  - </v>
      </c>
      <c r="N31" s="90"/>
    </row>
    <row r="32" spans="2:14" x14ac:dyDescent="0.25">
      <c r="C32" s="30" t="s">
        <v>83</v>
      </c>
      <c r="H32" s="91"/>
      <c r="I32" s="91"/>
      <c r="J32" s="97"/>
      <c r="K32" s="79"/>
      <c r="L32" s="79"/>
      <c r="M32" s="79" t="str">
        <f>Table72818224324048566472[[#This Row],[DBA]]&amp;" - "&amp;Table72818224324048566472[[#This Row],[BIN]]&amp;" - "&amp;Table72818224324048566472[[#This Row],[CAID]]</f>
        <v xml:space="preserve"> -  - </v>
      </c>
      <c r="N32" s="90"/>
    </row>
    <row r="33" spans="2:14" ht="13.8" thickBot="1" x14ac:dyDescent="0.3">
      <c r="C33" s="29"/>
      <c r="H33" s="91"/>
      <c r="I33" s="91"/>
      <c r="J33" s="97"/>
      <c r="K33" s="79"/>
      <c r="L33" s="79"/>
      <c r="M33" s="79" t="str">
        <f>Table72818224324048566472[[#This Row],[DBA]]&amp;" - "&amp;Table72818224324048566472[[#This Row],[BIN]]&amp;" - "&amp;Table72818224324048566472[[#This Row],[CAID]]</f>
        <v xml:space="preserve"> -  - </v>
      </c>
      <c r="N33" s="90"/>
    </row>
    <row r="34" spans="2:14" ht="13.8" thickBot="1" x14ac:dyDescent="0.3">
      <c r="B34" s="80" t="s">
        <v>329</v>
      </c>
      <c r="C34" s="81" t="s">
        <v>64</v>
      </c>
      <c r="D34" s="82" t="s">
        <v>63</v>
      </c>
      <c r="H34" s="91"/>
      <c r="I34" s="91"/>
      <c r="J34" s="97"/>
      <c r="K34" s="79"/>
      <c r="L34" s="79"/>
      <c r="M34" s="79" t="str">
        <f>Table72818224324048566472[[#This Row],[DBA]]&amp;" - "&amp;Table72818224324048566472[[#This Row],[BIN]]&amp;" - "&amp;Table72818224324048566472[[#This Row],[CAID]]</f>
        <v xml:space="preserve"> -  - </v>
      </c>
      <c r="N34" s="90"/>
    </row>
    <row r="35" spans="2:14" ht="13.8" thickBot="1" x14ac:dyDescent="0.3">
      <c r="B35" s="83"/>
      <c r="C35" s="84"/>
      <c r="D35" s="83"/>
      <c r="H35" s="91"/>
      <c r="I35" s="91"/>
      <c r="J35" s="97"/>
      <c r="K35" s="79"/>
      <c r="L35" s="79"/>
      <c r="M35" s="79" t="str">
        <f>Table72818224324048566472[[#This Row],[DBA]]&amp;" - "&amp;Table72818224324048566472[[#This Row],[BIN]]&amp;" - "&amp;Table72818224324048566472[[#This Row],[CAID]]</f>
        <v xml:space="preserve"> -  - </v>
      </c>
      <c r="N35" s="90"/>
    </row>
    <row r="36" spans="2:14" x14ac:dyDescent="0.25">
      <c r="H36" s="91"/>
      <c r="I36" s="91"/>
      <c r="J36" s="97"/>
      <c r="K36" s="79"/>
      <c r="L36" s="79"/>
      <c r="M36" s="79" t="str">
        <f>Table72818224324048566472[[#This Row],[DBA]]&amp;" - "&amp;Table72818224324048566472[[#This Row],[BIN]]&amp;" - "&amp;Table72818224324048566472[[#This Row],[CAID]]</f>
        <v xml:space="preserve"> -  - </v>
      </c>
      <c r="N36" s="90"/>
    </row>
    <row r="37" spans="2:14" x14ac:dyDescent="0.25">
      <c r="C37" s="30" t="s">
        <v>83</v>
      </c>
      <c r="H37" s="91"/>
      <c r="I37" s="91"/>
      <c r="J37" s="97"/>
      <c r="K37" s="79"/>
      <c r="L37" s="79"/>
      <c r="M37" s="79" t="str">
        <f>Table72818224324048566472[[#This Row],[DBA]]&amp;" - "&amp;Table72818224324048566472[[#This Row],[BIN]]&amp;" - "&amp;Table72818224324048566472[[#This Row],[CAID]]</f>
        <v xml:space="preserve"> -  - </v>
      </c>
      <c r="N37" s="90"/>
    </row>
    <row r="38" spans="2:14" ht="13.8" thickBot="1" x14ac:dyDescent="0.3">
      <c r="C38" s="29"/>
      <c r="H38" s="91"/>
      <c r="I38" s="91"/>
      <c r="J38" s="97"/>
      <c r="K38" s="79"/>
      <c r="L38" s="79"/>
      <c r="M38" s="79" t="str">
        <f>Table72818224324048566472[[#This Row],[DBA]]&amp;" - "&amp;Table72818224324048566472[[#This Row],[BIN]]&amp;" - "&amp;Table72818224324048566472[[#This Row],[CAID]]</f>
        <v xml:space="preserve"> -  - </v>
      </c>
      <c r="N38" s="90"/>
    </row>
    <row r="39" spans="2:14" ht="13.8" thickBot="1" x14ac:dyDescent="0.3">
      <c r="B39" s="80" t="s">
        <v>329</v>
      </c>
      <c r="C39" s="81" t="s">
        <v>64</v>
      </c>
      <c r="D39" s="82" t="s">
        <v>63</v>
      </c>
      <c r="H39" s="91"/>
      <c r="I39" s="91"/>
      <c r="J39" s="97"/>
      <c r="K39" s="79"/>
      <c r="L39" s="79"/>
      <c r="M39" s="79" t="str">
        <f>Table72818224324048566472[[#This Row],[DBA]]&amp;" - "&amp;Table72818224324048566472[[#This Row],[BIN]]&amp;" - "&amp;Table72818224324048566472[[#This Row],[CAID]]</f>
        <v xml:space="preserve"> -  - </v>
      </c>
      <c r="N39" s="90"/>
    </row>
    <row r="40" spans="2:14" ht="13.8" thickBot="1" x14ac:dyDescent="0.3">
      <c r="B40" s="83"/>
      <c r="C40" s="84"/>
      <c r="D40" s="83"/>
      <c r="H40" s="91"/>
      <c r="I40" s="91"/>
      <c r="J40" s="97"/>
      <c r="K40" s="89"/>
      <c r="L40" s="89"/>
      <c r="M40" s="79" t="str">
        <f>Table72818224324048566472[[#This Row],[DBA]]&amp;" - "&amp;Table72818224324048566472[[#This Row],[BIN]]&amp;" - "&amp;Table72818224324048566472[[#This Row],[CAID]]</f>
        <v xml:space="preserve"> -  - </v>
      </c>
      <c r="N40" s="90"/>
    </row>
    <row r="41" spans="2:14" x14ac:dyDescent="0.25">
      <c r="H41" s="91"/>
      <c r="I41" s="91"/>
      <c r="J41" s="97"/>
      <c r="K41" s="79"/>
      <c r="L41" s="79"/>
      <c r="M41" s="79" t="str">
        <f>Table72818224324048566472[[#This Row],[DBA]]&amp;" - "&amp;Table72818224324048566472[[#This Row],[BIN]]&amp;" - "&amp;Table72818224324048566472[[#This Row],[CAID]]</f>
        <v xml:space="preserve"> -  - </v>
      </c>
      <c r="N41" s="90"/>
    </row>
    <row r="42" spans="2:14" x14ac:dyDescent="0.25">
      <c r="H42" s="91"/>
      <c r="I42" s="91"/>
      <c r="J42" s="97"/>
      <c r="K42" s="79"/>
      <c r="L42" s="79"/>
      <c r="M42" s="79" t="str">
        <f>Table72818224324048566472[[#This Row],[DBA]]&amp;" - "&amp;Table72818224324048566472[[#This Row],[BIN]]&amp;" - "&amp;Table72818224324048566472[[#This Row],[CAID]]</f>
        <v xml:space="preserve"> -  - </v>
      </c>
      <c r="N42" s="90"/>
    </row>
    <row r="43" spans="2:14" x14ac:dyDescent="0.25">
      <c r="H43" s="91"/>
      <c r="I43" s="91"/>
      <c r="J43" s="97"/>
      <c r="K43" s="79"/>
      <c r="L43" s="79"/>
      <c r="M43" s="79" t="str">
        <f>Table72818224324048566472[[#This Row],[DBA]]&amp;" - "&amp;Table72818224324048566472[[#This Row],[BIN]]&amp;" - "&amp;Table72818224324048566472[[#This Row],[CAID]]</f>
        <v xml:space="preserve"> -  - </v>
      </c>
      <c r="N43" s="90"/>
    </row>
    <row r="44" spans="2:14" x14ac:dyDescent="0.25">
      <c r="H44" s="91"/>
      <c r="I44" s="91"/>
      <c r="J44" s="97"/>
      <c r="K44" s="79"/>
      <c r="L44" s="79"/>
      <c r="M44" s="79" t="str">
        <f>Table72818224324048566472[[#This Row],[DBA]]&amp;" - "&amp;Table72818224324048566472[[#This Row],[BIN]]&amp;" - "&amp;Table72818224324048566472[[#This Row],[CAID]]</f>
        <v xml:space="preserve"> -  - </v>
      </c>
      <c r="N44" s="90"/>
    </row>
    <row r="45" spans="2:14" x14ac:dyDescent="0.25">
      <c r="H45" s="91"/>
      <c r="I45" s="91"/>
      <c r="J45" s="97"/>
      <c r="K45" s="79"/>
      <c r="L45" s="79"/>
      <c r="M45" s="79" t="str">
        <f>Table72818224324048566472[[#This Row],[DBA]]&amp;" - "&amp;Table72818224324048566472[[#This Row],[BIN]]&amp;" - "&amp;Table72818224324048566472[[#This Row],[CAID]]</f>
        <v xml:space="preserve"> -  - </v>
      </c>
      <c r="N45" s="90"/>
    </row>
    <row r="46" spans="2:14" x14ac:dyDescent="0.25">
      <c r="H46" s="91"/>
      <c r="I46" s="91"/>
      <c r="J46" s="97"/>
      <c r="K46" s="79"/>
      <c r="L46" s="79"/>
      <c r="M46" s="79" t="str">
        <f>Table72818224324048566472[[#This Row],[DBA]]&amp;" - "&amp;Table72818224324048566472[[#This Row],[BIN]]&amp;" - "&amp;Table72818224324048566472[[#This Row],[CAID]]</f>
        <v xml:space="preserve"> -  - </v>
      </c>
      <c r="N46" s="90"/>
    </row>
    <row r="47" spans="2:14" x14ac:dyDescent="0.25">
      <c r="H47" s="91"/>
      <c r="I47" s="91"/>
      <c r="J47" s="97"/>
      <c r="K47" s="79"/>
      <c r="L47" s="79"/>
      <c r="M47" s="79" t="str">
        <f>Table72818224324048566472[[#This Row],[DBA]]&amp;" - "&amp;Table72818224324048566472[[#This Row],[BIN]]&amp;" - "&amp;Table72818224324048566472[[#This Row],[CAID]]</f>
        <v xml:space="preserve"> -  - </v>
      </c>
      <c r="N47" s="90"/>
    </row>
    <row r="48" spans="2:14" x14ac:dyDescent="0.25">
      <c r="H48" s="91"/>
      <c r="I48" s="91"/>
      <c r="J48" s="97"/>
      <c r="K48" s="79"/>
      <c r="L48" s="79"/>
      <c r="M48" s="79" t="str">
        <f>Table72818224324048566472[[#This Row],[DBA]]&amp;" - "&amp;Table72818224324048566472[[#This Row],[BIN]]&amp;" - "&amp;Table72818224324048566472[[#This Row],[CAID]]</f>
        <v xml:space="preserve"> -  - </v>
      </c>
      <c r="N48" s="90"/>
    </row>
    <row r="49" spans="8:14" x14ac:dyDescent="0.25">
      <c r="H49" s="91"/>
      <c r="I49" s="91"/>
      <c r="J49" s="97"/>
      <c r="K49" s="79"/>
      <c r="L49" s="79"/>
      <c r="M49" s="79" t="str">
        <f>Table72818224324048566472[[#This Row],[DBA]]&amp;" - "&amp;Table72818224324048566472[[#This Row],[BIN]]&amp;" - "&amp;Table72818224324048566472[[#This Row],[CAID]]</f>
        <v xml:space="preserve"> -  - </v>
      </c>
      <c r="N49" s="90"/>
    </row>
    <row r="50" spans="8:14" x14ac:dyDescent="0.25">
      <c r="H50" s="91"/>
      <c r="I50" s="91"/>
      <c r="J50" s="97"/>
      <c r="K50" s="79"/>
      <c r="L50" s="79"/>
      <c r="M50" s="79" t="str">
        <f>Table72818224324048566472[[#This Row],[DBA]]&amp;" - "&amp;Table72818224324048566472[[#This Row],[BIN]]&amp;" - "&amp;Table72818224324048566472[[#This Row],[CAID]]</f>
        <v xml:space="preserve"> -  - </v>
      </c>
      <c r="N50" s="90"/>
    </row>
    <row r="51" spans="8:14" x14ac:dyDescent="0.25">
      <c r="H51" s="91"/>
      <c r="I51" s="91"/>
      <c r="J51" s="97"/>
      <c r="K51" s="79"/>
      <c r="L51" s="79"/>
      <c r="M51" s="79" t="str">
        <f>Table72818224324048566472[[#This Row],[DBA]]&amp;" - "&amp;Table72818224324048566472[[#This Row],[BIN]]&amp;" - "&amp;Table72818224324048566472[[#This Row],[CAID]]</f>
        <v xml:space="preserve"> -  - </v>
      </c>
      <c r="N51" s="90"/>
    </row>
    <row r="52" spans="8:14" x14ac:dyDescent="0.25">
      <c r="H52" s="91"/>
      <c r="I52" s="91"/>
      <c r="J52" s="97"/>
      <c r="K52" s="79"/>
      <c r="L52" s="79"/>
      <c r="M52" s="79" t="str">
        <f>Table72818224324048566472[[#This Row],[DBA]]&amp;" - "&amp;Table72818224324048566472[[#This Row],[BIN]]&amp;" - "&amp;Table72818224324048566472[[#This Row],[CAID]]</f>
        <v xml:space="preserve"> -  - </v>
      </c>
      <c r="N52" s="90"/>
    </row>
    <row r="53" spans="8:14" x14ac:dyDescent="0.25">
      <c r="H53" s="91"/>
      <c r="I53" s="91"/>
      <c r="J53" s="97"/>
      <c r="K53" s="79"/>
      <c r="L53" s="79"/>
      <c r="M53" s="79" t="str">
        <f>Table72818224324048566472[[#This Row],[DBA]]&amp;" - "&amp;Table72818224324048566472[[#This Row],[BIN]]&amp;" - "&amp;Table72818224324048566472[[#This Row],[CAID]]</f>
        <v xml:space="preserve"> -  - </v>
      </c>
      <c r="N53" s="90"/>
    </row>
    <row r="54" spans="8:14" x14ac:dyDescent="0.25">
      <c r="H54" s="91"/>
      <c r="I54" s="91"/>
      <c r="J54" s="97"/>
      <c r="K54" s="79"/>
      <c r="L54" s="79"/>
      <c r="M54" s="79" t="str">
        <f>Table72818224324048566472[[#This Row],[DBA]]&amp;" - "&amp;Table72818224324048566472[[#This Row],[BIN]]&amp;" - "&amp;Table72818224324048566472[[#This Row],[CAID]]</f>
        <v xml:space="preserve"> -  - </v>
      </c>
      <c r="N54" s="90"/>
    </row>
    <row r="55" spans="8:14" x14ac:dyDescent="0.25">
      <c r="H55" s="91"/>
      <c r="I55" s="91"/>
      <c r="J55" s="97"/>
      <c r="K55" s="79"/>
      <c r="L55" s="79"/>
      <c r="M55" s="79" t="str">
        <f>Table72818224324048566472[[#This Row],[DBA]]&amp;" - "&amp;Table72818224324048566472[[#This Row],[BIN]]&amp;" - "&amp;Table72818224324048566472[[#This Row],[CAID]]</f>
        <v xml:space="preserve"> -  - </v>
      </c>
      <c r="N55" s="90"/>
    </row>
    <row r="56" spans="8:14" x14ac:dyDescent="0.25">
      <c r="H56" s="91"/>
      <c r="I56" s="91"/>
      <c r="J56" s="97"/>
      <c r="K56" s="79"/>
      <c r="L56" s="79"/>
      <c r="M56" s="79" t="str">
        <f>Table72818224324048566472[[#This Row],[DBA]]&amp;" - "&amp;Table72818224324048566472[[#This Row],[BIN]]&amp;" - "&amp;Table72818224324048566472[[#This Row],[CAID]]</f>
        <v xml:space="preserve"> -  - </v>
      </c>
      <c r="N56" s="90"/>
    </row>
    <row r="57" spans="8:14" x14ac:dyDescent="0.25">
      <c r="H57" s="91"/>
      <c r="I57" s="91"/>
      <c r="J57" s="97"/>
      <c r="K57" s="79"/>
      <c r="L57" s="79"/>
      <c r="M57" s="79" t="str">
        <f>Table72818224324048566472[[#This Row],[DBA]]&amp;" - "&amp;Table72818224324048566472[[#This Row],[BIN]]&amp;" - "&amp;Table72818224324048566472[[#This Row],[CAID]]</f>
        <v xml:space="preserve"> -  - </v>
      </c>
      <c r="N57" s="90"/>
    </row>
    <row r="58" spans="8:14" x14ac:dyDescent="0.25">
      <c r="H58" s="91"/>
      <c r="I58" s="91"/>
      <c r="J58" s="97"/>
      <c r="K58" s="79"/>
      <c r="L58" s="79"/>
      <c r="M58" s="79" t="str">
        <f>Table72818224324048566472[[#This Row],[DBA]]&amp;" - "&amp;Table72818224324048566472[[#This Row],[BIN]]&amp;" - "&amp;Table72818224324048566472[[#This Row],[CAID]]</f>
        <v xml:space="preserve"> -  - </v>
      </c>
      <c r="N58" s="90"/>
    </row>
    <row r="59" spans="8:14" x14ac:dyDescent="0.25">
      <c r="H59" s="91"/>
      <c r="I59" s="91"/>
      <c r="J59" s="97"/>
      <c r="K59" s="79"/>
      <c r="L59" s="79"/>
      <c r="M59" s="79" t="str">
        <f>Table72818224324048566472[[#This Row],[DBA]]&amp;" - "&amp;Table72818224324048566472[[#This Row],[BIN]]&amp;" - "&amp;Table72818224324048566472[[#This Row],[CAID]]</f>
        <v xml:space="preserve"> -  - </v>
      </c>
      <c r="N59" s="90"/>
    </row>
    <row r="60" spans="8:14" x14ac:dyDescent="0.25">
      <c r="H60" s="91"/>
      <c r="I60" s="91"/>
      <c r="J60" s="97"/>
      <c r="K60" s="79"/>
      <c r="L60" s="79"/>
      <c r="M60" s="79" t="str">
        <f>Table72818224324048566472[[#This Row],[DBA]]&amp;" - "&amp;Table72818224324048566472[[#This Row],[BIN]]&amp;" - "&amp;Table72818224324048566472[[#This Row],[CAID]]</f>
        <v xml:space="preserve"> -  - </v>
      </c>
      <c r="N60" s="90"/>
    </row>
    <row r="61" spans="8:14" x14ac:dyDescent="0.25">
      <c r="H61" s="91"/>
      <c r="I61" s="91"/>
      <c r="J61" s="97"/>
      <c r="K61" s="79"/>
      <c r="L61" s="79"/>
      <c r="M61" s="79" t="str">
        <f>Table72818224324048566472[[#This Row],[DBA]]&amp;" - "&amp;Table72818224324048566472[[#This Row],[BIN]]&amp;" - "&amp;Table72818224324048566472[[#This Row],[CAID]]</f>
        <v xml:space="preserve"> -  - </v>
      </c>
      <c r="N61" s="90"/>
    </row>
    <row r="62" spans="8:14" x14ac:dyDescent="0.25">
      <c r="H62" s="91"/>
      <c r="I62" s="91"/>
      <c r="J62" s="97"/>
      <c r="K62" s="79"/>
      <c r="L62" s="79"/>
      <c r="M62" s="79" t="str">
        <f>Table72818224324048566472[[#This Row],[DBA]]&amp;" - "&amp;Table72818224324048566472[[#This Row],[BIN]]&amp;" - "&amp;Table72818224324048566472[[#This Row],[CAID]]</f>
        <v xml:space="preserve"> -  - </v>
      </c>
      <c r="N62" s="90"/>
    </row>
    <row r="63" spans="8:14" x14ac:dyDescent="0.25">
      <c r="H63" s="91"/>
      <c r="I63" s="91"/>
      <c r="J63" s="97"/>
      <c r="K63" s="79"/>
      <c r="L63" s="79"/>
      <c r="M63" s="79" t="str">
        <f>Table72818224324048566472[[#This Row],[DBA]]&amp;" - "&amp;Table72818224324048566472[[#This Row],[BIN]]&amp;" - "&amp;Table72818224324048566472[[#This Row],[CAID]]</f>
        <v xml:space="preserve"> -  - </v>
      </c>
      <c r="N63" s="90"/>
    </row>
    <row r="64" spans="8:14" x14ac:dyDescent="0.25">
      <c r="H64" s="91"/>
      <c r="I64" s="91"/>
      <c r="J64" s="97"/>
      <c r="K64" s="79"/>
      <c r="L64" s="79"/>
      <c r="M64" s="79" t="str">
        <f>Table72818224324048566472[[#This Row],[DBA]]&amp;" - "&amp;Table72818224324048566472[[#This Row],[BIN]]&amp;" - "&amp;Table72818224324048566472[[#This Row],[CAID]]</f>
        <v xml:space="preserve"> -  - </v>
      </c>
      <c r="N64" s="90"/>
    </row>
    <row r="65" spans="8:14" x14ac:dyDescent="0.25">
      <c r="H65" s="91"/>
      <c r="I65" s="91"/>
      <c r="J65" s="97"/>
      <c r="K65" s="79"/>
      <c r="L65" s="79"/>
      <c r="M65" s="79" t="str">
        <f>Table72818224324048566472[[#This Row],[DBA]]&amp;" - "&amp;Table72818224324048566472[[#This Row],[BIN]]&amp;" - "&amp;Table72818224324048566472[[#This Row],[CAID]]</f>
        <v xml:space="preserve"> -  - </v>
      </c>
      <c r="N65" s="90"/>
    </row>
    <row r="66" spans="8:14" x14ac:dyDescent="0.25">
      <c r="H66" s="91"/>
      <c r="I66" s="91"/>
      <c r="J66" s="97"/>
      <c r="K66" s="79"/>
      <c r="L66" s="79"/>
      <c r="M66" s="79" t="str">
        <f>Table72818224324048566472[[#This Row],[DBA]]&amp;" - "&amp;Table72818224324048566472[[#This Row],[BIN]]&amp;" - "&amp;Table72818224324048566472[[#This Row],[CAID]]</f>
        <v xml:space="preserve"> -  - </v>
      </c>
      <c r="N66" s="90"/>
    </row>
    <row r="67" spans="8:14" x14ac:dyDescent="0.25">
      <c r="H67" s="91"/>
      <c r="I67" s="91"/>
      <c r="J67" s="97"/>
      <c r="K67" s="79"/>
      <c r="L67" s="79"/>
      <c r="M67" s="79" t="str">
        <f>Table72818224324048566472[[#This Row],[DBA]]&amp;" - "&amp;Table72818224324048566472[[#This Row],[BIN]]&amp;" - "&amp;Table72818224324048566472[[#This Row],[CAID]]</f>
        <v xml:space="preserve"> -  - </v>
      </c>
      <c r="N67" s="90"/>
    </row>
    <row r="68" spans="8:14" x14ac:dyDescent="0.25">
      <c r="H68" s="91"/>
      <c r="I68" s="91"/>
      <c r="J68" s="97"/>
      <c r="K68" s="79"/>
      <c r="L68" s="79"/>
      <c r="M68" s="79" t="str">
        <f>Table72818224324048566472[[#This Row],[DBA]]&amp;" - "&amp;Table72818224324048566472[[#This Row],[BIN]]&amp;" - "&amp;Table72818224324048566472[[#This Row],[CAID]]</f>
        <v xml:space="preserve"> -  - </v>
      </c>
      <c r="N68" s="90"/>
    </row>
    <row r="69" spans="8:14" x14ac:dyDescent="0.25">
      <c r="H69" s="91"/>
      <c r="I69" s="91"/>
      <c r="J69" s="97"/>
      <c r="K69" s="79"/>
      <c r="L69" s="79"/>
      <c r="M69" s="79" t="str">
        <f>Table72818224324048566472[[#This Row],[DBA]]&amp;" - "&amp;Table72818224324048566472[[#This Row],[BIN]]&amp;" - "&amp;Table72818224324048566472[[#This Row],[CAID]]</f>
        <v xml:space="preserve"> -  - </v>
      </c>
      <c r="N69" s="90"/>
    </row>
    <row r="70" spans="8:14" x14ac:dyDescent="0.25">
      <c r="H70" s="91"/>
      <c r="I70" s="91"/>
      <c r="J70" s="97"/>
      <c r="K70" s="79"/>
      <c r="L70" s="79"/>
      <c r="M70" s="79" t="str">
        <f>Table72818224324048566472[[#This Row],[DBA]]&amp;" - "&amp;Table72818224324048566472[[#This Row],[BIN]]&amp;" - "&amp;Table72818224324048566472[[#This Row],[CAID]]</f>
        <v xml:space="preserve"> -  - </v>
      </c>
      <c r="N70" s="90"/>
    </row>
    <row r="71" spans="8:14" x14ac:dyDescent="0.25">
      <c r="H71" s="91"/>
      <c r="I71" s="91"/>
      <c r="J71" s="97"/>
      <c r="K71" s="79"/>
      <c r="L71" s="79"/>
      <c r="M71" s="79" t="str">
        <f>Table72818224324048566472[[#This Row],[DBA]]&amp;" - "&amp;Table72818224324048566472[[#This Row],[BIN]]&amp;" - "&amp;Table72818224324048566472[[#This Row],[CAID]]</f>
        <v xml:space="preserve"> -  - </v>
      </c>
      <c r="N71" s="90"/>
    </row>
    <row r="72" spans="8:14" x14ac:dyDescent="0.25">
      <c r="H72" s="91"/>
      <c r="I72" s="91"/>
      <c r="J72" s="97"/>
      <c r="K72" s="79"/>
      <c r="L72" s="79"/>
      <c r="M72" s="79" t="str">
        <f>Table72818224324048566472[[#This Row],[DBA]]&amp;" - "&amp;Table72818224324048566472[[#This Row],[BIN]]&amp;" - "&amp;Table72818224324048566472[[#This Row],[CAID]]</f>
        <v xml:space="preserve"> -  - </v>
      </c>
      <c r="N72" s="90"/>
    </row>
    <row r="73" spans="8:14" x14ac:dyDescent="0.25">
      <c r="H73" s="91"/>
      <c r="I73" s="91"/>
      <c r="J73" s="97"/>
      <c r="K73" s="79"/>
      <c r="L73" s="79"/>
      <c r="M73" s="79" t="str">
        <f>Table72818224324048566472[[#This Row],[DBA]]&amp;" - "&amp;Table72818224324048566472[[#This Row],[BIN]]&amp;" - "&amp;Table72818224324048566472[[#This Row],[CAID]]</f>
        <v xml:space="preserve"> -  - </v>
      </c>
      <c r="N73" s="90"/>
    </row>
    <row r="74" spans="8:14" x14ac:dyDescent="0.25">
      <c r="H74" s="91"/>
      <c r="I74" s="91"/>
      <c r="J74" s="97"/>
      <c r="K74" s="79"/>
      <c r="L74" s="79"/>
      <c r="M74" s="79" t="str">
        <f>Table72818224324048566472[[#This Row],[DBA]]&amp;" - "&amp;Table72818224324048566472[[#This Row],[BIN]]&amp;" - "&amp;Table72818224324048566472[[#This Row],[CAID]]</f>
        <v xml:space="preserve"> -  - </v>
      </c>
      <c r="N74" s="90"/>
    </row>
    <row r="75" spans="8:14" x14ac:dyDescent="0.25">
      <c r="H75" s="91"/>
      <c r="I75" s="91"/>
      <c r="J75" s="97"/>
      <c r="K75" s="79"/>
      <c r="L75" s="79"/>
      <c r="M75" s="79" t="str">
        <f>Table72818224324048566472[[#This Row],[DBA]]&amp;" - "&amp;Table72818224324048566472[[#This Row],[BIN]]&amp;" - "&amp;Table72818224324048566472[[#This Row],[CAID]]</f>
        <v xml:space="preserve"> -  - </v>
      </c>
      <c r="N75" s="90"/>
    </row>
    <row r="76" spans="8:14" x14ac:dyDescent="0.25">
      <c r="H76" s="91"/>
      <c r="I76" s="91"/>
      <c r="J76" s="97"/>
      <c r="K76" s="79"/>
      <c r="L76" s="79"/>
      <c r="M76" s="79" t="str">
        <f>Table72818224324048566472[[#This Row],[DBA]]&amp;" - "&amp;Table72818224324048566472[[#This Row],[BIN]]&amp;" - "&amp;Table72818224324048566472[[#This Row],[CAID]]</f>
        <v xml:space="preserve"> -  - </v>
      </c>
      <c r="N76" s="90"/>
    </row>
    <row r="77" spans="8:14" x14ac:dyDescent="0.25">
      <c r="H77" s="91"/>
      <c r="I77" s="91"/>
      <c r="J77" s="97"/>
      <c r="K77" s="79"/>
      <c r="L77" s="79"/>
      <c r="M77" s="79" t="str">
        <f>Table72818224324048566472[[#This Row],[DBA]]&amp;" - "&amp;Table72818224324048566472[[#This Row],[BIN]]&amp;" - "&amp;Table72818224324048566472[[#This Row],[CAID]]</f>
        <v xml:space="preserve"> -  - </v>
      </c>
      <c r="N77" s="90"/>
    </row>
    <row r="78" spans="8:14" x14ac:dyDescent="0.25">
      <c r="H78" s="91"/>
      <c r="I78" s="91"/>
      <c r="J78" s="97"/>
      <c r="K78" s="79"/>
      <c r="L78" s="79"/>
      <c r="M78" s="79" t="str">
        <f>Table72818224324048566472[[#This Row],[DBA]]&amp;" - "&amp;Table72818224324048566472[[#This Row],[BIN]]&amp;" - "&amp;Table72818224324048566472[[#This Row],[CAID]]</f>
        <v xml:space="preserve"> -  - </v>
      </c>
      <c r="N78" s="90"/>
    </row>
    <row r="79" spans="8:14" x14ac:dyDescent="0.25">
      <c r="H79" s="91"/>
      <c r="I79" s="91"/>
      <c r="J79" s="97"/>
      <c r="K79" s="79"/>
      <c r="L79" s="79"/>
      <c r="M79" s="79" t="str">
        <f>Table72818224324048566472[[#This Row],[DBA]]&amp;" - "&amp;Table72818224324048566472[[#This Row],[BIN]]&amp;" - "&amp;Table72818224324048566472[[#This Row],[CAID]]</f>
        <v xml:space="preserve"> -  - </v>
      </c>
      <c r="N79" s="90"/>
    </row>
    <row r="80" spans="8:14" x14ac:dyDescent="0.25">
      <c r="H80" s="91"/>
      <c r="I80" s="91"/>
      <c r="J80" s="97"/>
      <c r="K80" s="79"/>
      <c r="L80" s="79"/>
      <c r="M80" s="79" t="str">
        <f>Table72818224324048566472[[#This Row],[DBA]]&amp;" - "&amp;Table72818224324048566472[[#This Row],[BIN]]&amp;" - "&amp;Table72818224324048566472[[#This Row],[CAID]]</f>
        <v xml:space="preserve"> -  - </v>
      </c>
      <c r="N80" s="90"/>
    </row>
    <row r="81" spans="8:14" x14ac:dyDescent="0.25">
      <c r="H81" s="91"/>
      <c r="I81" s="91"/>
      <c r="J81" s="97"/>
      <c r="K81" s="79"/>
      <c r="L81" s="79"/>
      <c r="M81" s="79" t="str">
        <f>Table72818224324048566472[[#This Row],[DBA]]&amp;" - "&amp;Table72818224324048566472[[#This Row],[BIN]]&amp;" - "&amp;Table72818224324048566472[[#This Row],[CAID]]</f>
        <v xml:space="preserve"> -  - </v>
      </c>
      <c r="N81" s="90"/>
    </row>
    <row r="82" spans="8:14" x14ac:dyDescent="0.25">
      <c r="H82" s="91"/>
      <c r="I82" s="91"/>
      <c r="J82" s="97"/>
      <c r="K82" s="79"/>
      <c r="L82" s="79"/>
      <c r="M82" s="79" t="str">
        <f>Table72818224324048566472[[#This Row],[DBA]]&amp;" - "&amp;Table72818224324048566472[[#This Row],[BIN]]&amp;" - "&amp;Table72818224324048566472[[#This Row],[CAID]]</f>
        <v xml:space="preserve"> -  - </v>
      </c>
      <c r="N82" s="90"/>
    </row>
    <row r="83" spans="8:14" x14ac:dyDescent="0.25">
      <c r="H83" s="91"/>
      <c r="I83" s="91"/>
      <c r="J83" s="97"/>
      <c r="K83" s="79"/>
      <c r="L83" s="79"/>
      <c r="M83" s="79" t="str">
        <f>Table72818224324048566472[[#This Row],[DBA]]&amp;" - "&amp;Table72818224324048566472[[#This Row],[BIN]]&amp;" - "&amp;Table72818224324048566472[[#This Row],[CAID]]</f>
        <v xml:space="preserve"> -  - </v>
      </c>
      <c r="N83" s="90"/>
    </row>
    <row r="84" spans="8:14" x14ac:dyDescent="0.25">
      <c r="H84" s="91"/>
      <c r="I84" s="91"/>
      <c r="J84" s="97"/>
      <c r="K84" s="79"/>
      <c r="L84" s="79"/>
      <c r="M84" s="79" t="str">
        <f>Table72818224324048566472[[#This Row],[DBA]]&amp;" - "&amp;Table72818224324048566472[[#This Row],[BIN]]&amp;" - "&amp;Table72818224324048566472[[#This Row],[CAID]]</f>
        <v xml:space="preserve"> -  - </v>
      </c>
      <c r="N84" s="90"/>
    </row>
    <row r="85" spans="8:14" x14ac:dyDescent="0.25">
      <c r="H85" s="91"/>
      <c r="I85" s="91"/>
      <c r="J85" s="97"/>
      <c r="K85" s="79"/>
      <c r="L85" s="79"/>
      <c r="M85" s="79" t="str">
        <f>Table72818224324048566472[[#This Row],[DBA]]&amp;" - "&amp;Table72818224324048566472[[#This Row],[BIN]]&amp;" - "&amp;Table72818224324048566472[[#This Row],[CAID]]</f>
        <v xml:space="preserve"> -  - </v>
      </c>
      <c r="N85" s="90"/>
    </row>
    <row r="86" spans="8:14" x14ac:dyDescent="0.25">
      <c r="H86" s="91"/>
      <c r="I86" s="91"/>
      <c r="J86" s="97"/>
      <c r="K86" s="79"/>
      <c r="L86" s="79"/>
      <c r="M86" s="79" t="str">
        <f>Table72818224324048566472[[#This Row],[DBA]]&amp;" - "&amp;Table72818224324048566472[[#This Row],[BIN]]&amp;" - "&amp;Table72818224324048566472[[#This Row],[CAID]]</f>
        <v xml:space="preserve"> -  - </v>
      </c>
      <c r="N86" s="90"/>
    </row>
    <row r="87" spans="8:14" x14ac:dyDescent="0.25">
      <c r="H87" s="91"/>
      <c r="I87" s="91"/>
      <c r="J87" s="97"/>
      <c r="K87" s="79"/>
      <c r="L87" s="79"/>
      <c r="M87" s="79" t="str">
        <f>Table72818224324048566472[[#This Row],[DBA]]&amp;" - "&amp;Table72818224324048566472[[#This Row],[BIN]]&amp;" - "&amp;Table72818224324048566472[[#This Row],[CAID]]</f>
        <v xml:space="preserve"> -  - </v>
      </c>
      <c r="N87" s="90"/>
    </row>
    <row r="88" spans="8:14" x14ac:dyDescent="0.25">
      <c r="H88" s="91"/>
      <c r="I88" s="91"/>
      <c r="J88" s="97"/>
      <c r="K88" s="79"/>
      <c r="L88" s="79"/>
      <c r="M88" s="79" t="str">
        <f>Table72818224324048566472[[#This Row],[DBA]]&amp;" - "&amp;Table72818224324048566472[[#This Row],[BIN]]&amp;" - "&amp;Table72818224324048566472[[#This Row],[CAID]]</f>
        <v xml:space="preserve"> -  - </v>
      </c>
      <c r="N88" s="90"/>
    </row>
    <row r="89" spans="8:14" x14ac:dyDescent="0.25">
      <c r="H89" s="91"/>
      <c r="I89" s="91"/>
      <c r="J89" s="97"/>
      <c r="K89" s="79"/>
      <c r="L89" s="79"/>
      <c r="M89" s="79" t="str">
        <f>Table72818224324048566472[[#This Row],[DBA]]&amp;" - "&amp;Table72818224324048566472[[#This Row],[BIN]]&amp;" - "&amp;Table72818224324048566472[[#This Row],[CAID]]</f>
        <v xml:space="preserve"> -  - </v>
      </c>
      <c r="N89" s="90"/>
    </row>
    <row r="90" spans="8:14" x14ac:dyDescent="0.25">
      <c r="H90" s="91"/>
      <c r="I90" s="91"/>
      <c r="J90" s="97"/>
      <c r="K90" s="79"/>
      <c r="L90" s="79"/>
      <c r="M90" s="79" t="str">
        <f>Table72818224324048566472[[#This Row],[DBA]]&amp;" - "&amp;Table72818224324048566472[[#This Row],[BIN]]&amp;" - "&amp;Table72818224324048566472[[#This Row],[CAID]]</f>
        <v xml:space="preserve"> -  - </v>
      </c>
      <c r="N90" s="90"/>
    </row>
    <row r="91" spans="8:14" x14ac:dyDescent="0.25">
      <c r="H91" s="91"/>
      <c r="I91" s="91"/>
      <c r="J91" s="97"/>
      <c r="K91" s="79"/>
      <c r="L91" s="79"/>
      <c r="M91" s="79" t="str">
        <f>Table72818224324048566472[[#This Row],[DBA]]&amp;" - "&amp;Table72818224324048566472[[#This Row],[BIN]]&amp;" - "&amp;Table72818224324048566472[[#This Row],[CAID]]</f>
        <v xml:space="preserve"> -  - </v>
      </c>
      <c r="N91" s="90"/>
    </row>
    <row r="92" spans="8:14" x14ac:dyDescent="0.25">
      <c r="H92" s="91"/>
      <c r="I92" s="91"/>
      <c r="J92" s="97"/>
      <c r="K92" s="79"/>
      <c r="L92" s="79"/>
      <c r="M92" s="79" t="str">
        <f>Table72818224324048566472[[#This Row],[DBA]]&amp;" - "&amp;Table72818224324048566472[[#This Row],[BIN]]&amp;" - "&amp;Table72818224324048566472[[#This Row],[CAID]]</f>
        <v xml:space="preserve"> -  - </v>
      </c>
      <c r="N92" s="90"/>
    </row>
    <row r="93" spans="8:14" x14ac:dyDescent="0.25">
      <c r="H93" s="91"/>
      <c r="I93" s="91"/>
      <c r="J93" s="97"/>
      <c r="K93" s="79"/>
      <c r="L93" s="79"/>
      <c r="M93" s="79" t="str">
        <f>Table72818224324048566472[[#This Row],[DBA]]&amp;" - "&amp;Table72818224324048566472[[#This Row],[BIN]]&amp;" - "&amp;Table72818224324048566472[[#This Row],[CAID]]</f>
        <v xml:space="preserve"> -  - </v>
      </c>
      <c r="N93" s="90"/>
    </row>
    <row r="94" spans="8:14" x14ac:dyDescent="0.25">
      <c r="H94" s="91"/>
      <c r="I94" s="91"/>
      <c r="J94" s="97"/>
      <c r="K94" s="79"/>
      <c r="L94" s="79"/>
      <c r="M94" s="79" t="str">
        <f>Table72818224324048566472[[#This Row],[DBA]]&amp;" - "&amp;Table72818224324048566472[[#This Row],[BIN]]&amp;" - "&amp;Table72818224324048566472[[#This Row],[CAID]]</f>
        <v xml:space="preserve"> -  - </v>
      </c>
      <c r="N94" s="90"/>
    </row>
    <row r="95" spans="8:14" x14ac:dyDescent="0.25">
      <c r="H95" s="91"/>
      <c r="I95" s="91"/>
      <c r="J95" s="97"/>
      <c r="K95" s="79"/>
      <c r="L95" s="79"/>
      <c r="M95" s="79" t="str">
        <f>Table72818224324048566472[[#This Row],[DBA]]&amp;" - "&amp;Table72818224324048566472[[#This Row],[BIN]]&amp;" - "&amp;Table72818224324048566472[[#This Row],[CAID]]</f>
        <v xml:space="preserve"> -  - </v>
      </c>
      <c r="N95" s="90"/>
    </row>
    <row r="96" spans="8:14" x14ac:dyDescent="0.25">
      <c r="H96" s="91"/>
      <c r="I96" s="91"/>
      <c r="J96" s="97"/>
      <c r="K96" s="79"/>
      <c r="L96" s="79"/>
      <c r="M96" s="79" t="str">
        <f>Table72818224324048566472[[#This Row],[DBA]]&amp;" - "&amp;Table72818224324048566472[[#This Row],[BIN]]&amp;" - "&amp;Table72818224324048566472[[#This Row],[CAID]]</f>
        <v xml:space="preserve"> -  - </v>
      </c>
      <c r="N96" s="90"/>
    </row>
    <row r="97" spans="8:14" x14ac:dyDescent="0.25">
      <c r="H97" s="91"/>
      <c r="I97" s="91"/>
      <c r="J97" s="97"/>
      <c r="K97" s="79"/>
      <c r="L97" s="79"/>
      <c r="M97" s="79" t="str">
        <f>Table72818224324048566472[[#This Row],[DBA]]&amp;" - "&amp;Table72818224324048566472[[#This Row],[BIN]]&amp;" - "&amp;Table72818224324048566472[[#This Row],[CAID]]</f>
        <v xml:space="preserve"> -  - </v>
      </c>
      <c r="N97" s="90"/>
    </row>
    <row r="98" spans="8:14" x14ac:dyDescent="0.25">
      <c r="H98" s="91"/>
      <c r="I98" s="91"/>
      <c r="J98" s="97"/>
      <c r="K98" s="79"/>
      <c r="L98" s="79"/>
      <c r="M98" s="79" t="str">
        <f>Table72818224324048566472[[#This Row],[DBA]]&amp;" - "&amp;Table72818224324048566472[[#This Row],[BIN]]&amp;" - "&amp;Table72818224324048566472[[#This Row],[CAID]]</f>
        <v xml:space="preserve"> -  - </v>
      </c>
      <c r="N98" s="90"/>
    </row>
    <row r="99" spans="8:14" x14ac:dyDescent="0.25">
      <c r="H99" s="91"/>
      <c r="I99" s="91"/>
      <c r="J99" s="97"/>
      <c r="K99" s="79"/>
      <c r="L99" s="79"/>
      <c r="M99" s="79" t="str">
        <f>Table72818224324048566472[[#This Row],[DBA]]&amp;" - "&amp;Table72818224324048566472[[#This Row],[BIN]]&amp;" - "&amp;Table72818224324048566472[[#This Row],[CAID]]</f>
        <v xml:space="preserve"> -  - </v>
      </c>
      <c r="N99" s="90"/>
    </row>
    <row r="100" spans="8:14" x14ac:dyDescent="0.25">
      <c r="H100" s="91"/>
      <c r="I100" s="91"/>
      <c r="J100" s="97"/>
      <c r="K100" s="79"/>
      <c r="L100" s="79"/>
      <c r="M100" s="79" t="str">
        <f>Table72818224324048566472[[#This Row],[DBA]]&amp;" - "&amp;Table72818224324048566472[[#This Row],[BIN]]&amp;" - "&amp;Table72818224324048566472[[#This Row],[CAID]]</f>
        <v xml:space="preserve"> -  - </v>
      </c>
      <c r="N100" s="90"/>
    </row>
    <row r="101" spans="8:14" x14ac:dyDescent="0.25">
      <c r="H101" s="91"/>
      <c r="I101" s="91"/>
      <c r="J101" s="97"/>
      <c r="K101" s="79"/>
      <c r="L101" s="79"/>
      <c r="M101" s="79" t="str">
        <f>Table72818224324048566472[[#This Row],[DBA]]&amp;" - "&amp;Table72818224324048566472[[#This Row],[BIN]]&amp;" - "&amp;Table72818224324048566472[[#This Row],[CAID]]</f>
        <v xml:space="preserve"> -  - </v>
      </c>
      <c r="N101" s="90"/>
    </row>
    <row r="102" spans="8:14" x14ac:dyDescent="0.25">
      <c r="H102" s="91"/>
      <c r="I102" s="91"/>
      <c r="J102" s="97"/>
      <c r="K102" s="79"/>
      <c r="L102" s="79"/>
      <c r="M102" s="79" t="str">
        <f>Table72818224324048566472[[#This Row],[DBA]]&amp;" - "&amp;Table72818224324048566472[[#This Row],[BIN]]&amp;" - "&amp;Table72818224324048566472[[#This Row],[CAID]]</f>
        <v xml:space="preserve"> -  - </v>
      </c>
      <c r="N102" s="90"/>
    </row>
    <row r="103" spans="8:14" x14ac:dyDescent="0.25">
      <c r="H103" s="91"/>
      <c r="I103" s="91"/>
      <c r="J103" s="97"/>
      <c r="K103" s="79"/>
      <c r="L103" s="79"/>
      <c r="M103" s="79" t="str">
        <f>Table72818224324048566472[[#This Row],[DBA]]&amp;" - "&amp;Table72818224324048566472[[#This Row],[BIN]]&amp;" - "&amp;Table72818224324048566472[[#This Row],[CAID]]</f>
        <v xml:space="preserve"> -  - </v>
      </c>
      <c r="N103" s="90"/>
    </row>
    <row r="104" spans="8:14" x14ac:dyDescent="0.25">
      <c r="H104" s="91"/>
      <c r="I104" s="91"/>
      <c r="J104" s="97"/>
      <c r="K104" s="79"/>
      <c r="L104" s="79"/>
      <c r="M104" s="79" t="str">
        <f>Table72818224324048566472[[#This Row],[DBA]]&amp;" - "&amp;Table72818224324048566472[[#This Row],[BIN]]&amp;" - "&amp;Table72818224324048566472[[#This Row],[CAID]]</f>
        <v xml:space="preserve"> -  - </v>
      </c>
      <c r="N104" s="90"/>
    </row>
    <row r="105" spans="8:14" x14ac:dyDescent="0.25">
      <c r="H105" s="91"/>
      <c r="I105" s="91"/>
      <c r="J105" s="97"/>
      <c r="K105" s="79"/>
      <c r="L105" s="79"/>
      <c r="M105" s="79" t="str">
        <f>Table72818224324048566472[[#This Row],[DBA]]&amp;" - "&amp;Table72818224324048566472[[#This Row],[BIN]]&amp;" - "&amp;Table72818224324048566472[[#This Row],[CAID]]</f>
        <v xml:space="preserve"> -  - </v>
      </c>
      <c r="N105" s="90"/>
    </row>
    <row r="106" spans="8:14" x14ac:dyDescent="0.25">
      <c r="H106" s="91"/>
      <c r="I106" s="91"/>
      <c r="J106" s="97"/>
      <c r="K106" s="79"/>
      <c r="L106" s="79"/>
      <c r="M106" s="79" t="str">
        <f>Table72818224324048566472[[#This Row],[DBA]]&amp;" - "&amp;Table72818224324048566472[[#This Row],[BIN]]&amp;" - "&amp;Table72818224324048566472[[#This Row],[CAID]]</f>
        <v xml:space="preserve"> -  - </v>
      </c>
      <c r="N106" s="90"/>
    </row>
    <row r="107" spans="8:14" x14ac:dyDescent="0.25">
      <c r="H107" s="91"/>
      <c r="I107" s="91"/>
      <c r="J107" s="97"/>
      <c r="K107" s="79"/>
      <c r="L107" s="79"/>
      <c r="M107" s="79" t="str">
        <f>Table72818224324048566472[[#This Row],[DBA]]&amp;" - "&amp;Table72818224324048566472[[#This Row],[BIN]]&amp;" - "&amp;Table72818224324048566472[[#This Row],[CAID]]</f>
        <v xml:space="preserve"> -  - </v>
      </c>
      <c r="N107" s="90"/>
    </row>
    <row r="108" spans="8:14" x14ac:dyDescent="0.25">
      <c r="H108" s="91"/>
      <c r="I108" s="91"/>
      <c r="J108" s="97"/>
      <c r="K108" s="79"/>
      <c r="L108" s="79"/>
      <c r="M108" s="79" t="str">
        <f>Table72818224324048566472[[#This Row],[DBA]]&amp;" - "&amp;Table72818224324048566472[[#This Row],[BIN]]&amp;" - "&amp;Table72818224324048566472[[#This Row],[CAID]]</f>
        <v xml:space="preserve"> -  - </v>
      </c>
      <c r="N108" s="90"/>
    </row>
    <row r="109" spans="8:14" x14ac:dyDescent="0.25">
      <c r="H109" s="91"/>
      <c r="I109" s="91"/>
      <c r="J109" s="97"/>
      <c r="K109" s="79"/>
      <c r="L109" s="79"/>
      <c r="M109" s="79" t="str">
        <f>Table72818224324048566472[[#This Row],[DBA]]&amp;" - "&amp;Table72818224324048566472[[#This Row],[BIN]]&amp;" - "&amp;Table72818224324048566472[[#This Row],[CAID]]</f>
        <v xml:space="preserve"> -  - </v>
      </c>
      <c r="N109" s="90"/>
    </row>
    <row r="110" spans="8:14" x14ac:dyDescent="0.25">
      <c r="H110" s="91"/>
      <c r="I110" s="91"/>
      <c r="J110" s="97"/>
      <c r="K110" s="79"/>
      <c r="L110" s="79"/>
      <c r="M110" s="79" t="str">
        <f>Table72818224324048566472[[#This Row],[DBA]]&amp;" - "&amp;Table72818224324048566472[[#This Row],[BIN]]&amp;" - "&amp;Table72818224324048566472[[#This Row],[CAID]]</f>
        <v xml:space="preserve"> -  - </v>
      </c>
      <c r="N110" s="90"/>
    </row>
    <row r="111" spans="8:14" x14ac:dyDescent="0.25">
      <c r="H111" s="91"/>
      <c r="I111" s="91"/>
      <c r="J111" s="97"/>
      <c r="K111" s="79"/>
      <c r="L111" s="79"/>
      <c r="M111" s="79" t="str">
        <f>Table72818224324048566472[[#This Row],[DBA]]&amp;" - "&amp;Table72818224324048566472[[#This Row],[BIN]]&amp;" - "&amp;Table72818224324048566472[[#This Row],[CAID]]</f>
        <v xml:space="preserve"> -  - </v>
      </c>
      <c r="N111" s="90"/>
    </row>
    <row r="112" spans="8:14" x14ac:dyDescent="0.25">
      <c r="H112" s="91"/>
      <c r="I112" s="91"/>
      <c r="J112" s="97"/>
      <c r="K112" s="79"/>
      <c r="L112" s="79"/>
      <c r="M112" s="79" t="str">
        <f>Table72818224324048566472[[#This Row],[DBA]]&amp;" - "&amp;Table72818224324048566472[[#This Row],[BIN]]&amp;" - "&amp;Table72818224324048566472[[#This Row],[CAID]]</f>
        <v xml:space="preserve"> -  - </v>
      </c>
      <c r="N112" s="90"/>
    </row>
    <row r="113" spans="8:14" x14ac:dyDescent="0.25">
      <c r="H113" s="91"/>
      <c r="I113" s="91"/>
      <c r="J113" s="97"/>
      <c r="K113" s="79"/>
      <c r="L113" s="79"/>
      <c r="M113" s="79" t="str">
        <f>Table72818224324048566472[[#This Row],[DBA]]&amp;" - "&amp;Table72818224324048566472[[#This Row],[BIN]]&amp;" - "&amp;Table72818224324048566472[[#This Row],[CAID]]</f>
        <v xml:space="preserve"> -  - </v>
      </c>
      <c r="N113" s="90"/>
    </row>
    <row r="114" spans="8:14" x14ac:dyDescent="0.25">
      <c r="H114" s="91"/>
      <c r="I114" s="91"/>
      <c r="J114" s="97"/>
      <c r="K114" s="79"/>
      <c r="L114" s="79"/>
      <c r="M114" s="79" t="str">
        <f>Table72818224324048566472[[#This Row],[DBA]]&amp;" - "&amp;Table72818224324048566472[[#This Row],[BIN]]&amp;" - "&amp;Table72818224324048566472[[#This Row],[CAID]]</f>
        <v xml:space="preserve"> -  - </v>
      </c>
      <c r="N114" s="90"/>
    </row>
    <row r="115" spans="8:14" x14ac:dyDescent="0.25">
      <c r="H115" s="91"/>
      <c r="I115" s="91"/>
      <c r="J115" s="97"/>
      <c r="K115" s="79"/>
      <c r="L115" s="79"/>
      <c r="M115" s="79" t="str">
        <f>Table72818224324048566472[[#This Row],[DBA]]&amp;" - "&amp;Table72818224324048566472[[#This Row],[BIN]]&amp;" - "&amp;Table72818224324048566472[[#This Row],[CAID]]</f>
        <v xml:space="preserve"> -  - </v>
      </c>
      <c r="N115" s="90"/>
    </row>
    <row r="116" spans="8:14" x14ac:dyDescent="0.25">
      <c r="H116" s="91"/>
      <c r="I116" s="91"/>
      <c r="J116" s="97"/>
      <c r="K116" s="79"/>
      <c r="L116" s="79"/>
      <c r="M116" s="79" t="str">
        <f>Table72818224324048566472[[#This Row],[DBA]]&amp;" - "&amp;Table72818224324048566472[[#This Row],[BIN]]&amp;" - "&amp;Table72818224324048566472[[#This Row],[CAID]]</f>
        <v xml:space="preserve"> -  - </v>
      </c>
      <c r="N116" s="90"/>
    </row>
    <row r="117" spans="8:14" x14ac:dyDescent="0.25">
      <c r="H117" s="91"/>
      <c r="I117" s="91"/>
      <c r="J117" s="97"/>
      <c r="K117" s="79"/>
      <c r="L117" s="79"/>
      <c r="M117" s="79" t="str">
        <f>Table72818224324048566472[[#This Row],[DBA]]&amp;" - "&amp;Table72818224324048566472[[#This Row],[BIN]]&amp;" - "&amp;Table72818224324048566472[[#This Row],[CAID]]</f>
        <v xml:space="preserve"> -  - </v>
      </c>
      <c r="N117" s="90"/>
    </row>
    <row r="118" spans="8:14" x14ac:dyDescent="0.25">
      <c r="H118" s="91"/>
      <c r="I118" s="91"/>
      <c r="J118" s="97"/>
      <c r="K118" s="79"/>
      <c r="L118" s="79"/>
      <c r="M118" s="79" t="str">
        <f>Table72818224324048566472[[#This Row],[DBA]]&amp;" - "&amp;Table72818224324048566472[[#This Row],[BIN]]&amp;" - "&amp;Table72818224324048566472[[#This Row],[CAID]]</f>
        <v xml:space="preserve"> -  - </v>
      </c>
      <c r="N118" s="90"/>
    </row>
    <row r="119" spans="8:14" x14ac:dyDescent="0.25">
      <c r="H119" s="91"/>
      <c r="I119" s="91"/>
      <c r="J119" s="97"/>
      <c r="K119" s="79"/>
      <c r="L119" s="79"/>
      <c r="M119" s="79" t="str">
        <f>Table72818224324048566472[[#This Row],[DBA]]&amp;" - "&amp;Table72818224324048566472[[#This Row],[BIN]]&amp;" - "&amp;Table72818224324048566472[[#This Row],[CAID]]</f>
        <v xml:space="preserve"> -  - </v>
      </c>
      <c r="N119" s="90"/>
    </row>
    <row r="120" spans="8:14" x14ac:dyDescent="0.25">
      <c r="H120" s="91"/>
      <c r="I120" s="91"/>
      <c r="J120" s="97"/>
      <c r="K120" s="79"/>
      <c r="L120" s="79"/>
      <c r="M120" s="79" t="str">
        <f>Table72818224324048566472[[#This Row],[DBA]]&amp;" - "&amp;Table72818224324048566472[[#This Row],[BIN]]&amp;" - "&amp;Table72818224324048566472[[#This Row],[CAID]]</f>
        <v xml:space="preserve"> -  - </v>
      </c>
      <c r="N120" s="90"/>
    </row>
    <row r="121" spans="8:14" x14ac:dyDescent="0.25">
      <c r="H121" s="91"/>
      <c r="I121" s="91"/>
      <c r="J121" s="97"/>
      <c r="K121" s="79"/>
      <c r="L121" s="79"/>
      <c r="M121" s="79" t="str">
        <f>Table72818224324048566472[[#This Row],[DBA]]&amp;" - "&amp;Table72818224324048566472[[#This Row],[BIN]]&amp;" - "&amp;Table72818224324048566472[[#This Row],[CAID]]</f>
        <v xml:space="preserve"> -  - </v>
      </c>
      <c r="N121" s="90"/>
    </row>
    <row r="122" spans="8:14" x14ac:dyDescent="0.25">
      <c r="H122" s="91"/>
      <c r="I122" s="91"/>
      <c r="J122" s="97"/>
      <c r="K122" s="79"/>
      <c r="L122" s="79"/>
      <c r="M122" s="79" t="str">
        <f>Table72818224324048566472[[#This Row],[DBA]]&amp;" - "&amp;Table72818224324048566472[[#This Row],[BIN]]&amp;" - "&amp;Table72818224324048566472[[#This Row],[CAID]]</f>
        <v xml:space="preserve"> -  - </v>
      </c>
      <c r="N122" s="90"/>
    </row>
    <row r="123" spans="8:14" x14ac:dyDescent="0.25">
      <c r="H123" s="91"/>
      <c r="I123" s="91"/>
      <c r="J123" s="97"/>
      <c r="K123" s="79"/>
      <c r="L123" s="79"/>
      <c r="M123" s="79" t="str">
        <f>Table72818224324048566472[[#This Row],[DBA]]&amp;" - "&amp;Table72818224324048566472[[#This Row],[BIN]]&amp;" - "&amp;Table72818224324048566472[[#This Row],[CAID]]</f>
        <v xml:space="preserve"> -  - </v>
      </c>
      <c r="N123" s="90"/>
    </row>
    <row r="124" spans="8:14" x14ac:dyDescent="0.25">
      <c r="H124" s="91"/>
      <c r="I124" s="91"/>
      <c r="J124" s="97"/>
      <c r="K124" s="79"/>
      <c r="L124" s="79"/>
      <c r="M124" s="79" t="str">
        <f>Table72818224324048566472[[#This Row],[DBA]]&amp;" - "&amp;Table72818224324048566472[[#This Row],[BIN]]&amp;" - "&amp;Table72818224324048566472[[#This Row],[CAID]]</f>
        <v xml:space="preserve"> -  - </v>
      </c>
      <c r="N124" s="90"/>
    </row>
    <row r="125" spans="8:14" x14ac:dyDescent="0.25">
      <c r="H125" s="91"/>
      <c r="I125" s="91"/>
      <c r="J125" s="97"/>
      <c r="K125" s="79"/>
      <c r="L125" s="79"/>
      <c r="M125" s="79" t="str">
        <f>Table72818224324048566472[[#This Row],[DBA]]&amp;" - "&amp;Table72818224324048566472[[#This Row],[BIN]]&amp;" - "&amp;Table72818224324048566472[[#This Row],[CAID]]</f>
        <v xml:space="preserve"> -  - </v>
      </c>
      <c r="N125" s="90"/>
    </row>
    <row r="126" spans="8:14" x14ac:dyDescent="0.25">
      <c r="H126" s="91"/>
      <c r="I126" s="91"/>
      <c r="J126" s="97"/>
      <c r="K126" s="79"/>
      <c r="L126" s="79"/>
      <c r="M126" s="79" t="str">
        <f>Table72818224324048566472[[#This Row],[DBA]]&amp;" - "&amp;Table72818224324048566472[[#This Row],[BIN]]&amp;" - "&amp;Table72818224324048566472[[#This Row],[CAID]]</f>
        <v xml:space="preserve"> -  - </v>
      </c>
      <c r="N126" s="90"/>
    </row>
    <row r="127" spans="8:14" x14ac:dyDescent="0.25">
      <c r="H127" s="91"/>
      <c r="I127" s="91"/>
      <c r="J127" s="97"/>
      <c r="K127" s="79"/>
      <c r="L127" s="79"/>
      <c r="M127" s="79" t="str">
        <f>Table72818224324048566472[[#This Row],[DBA]]&amp;" - "&amp;Table72818224324048566472[[#This Row],[BIN]]&amp;" - "&amp;Table72818224324048566472[[#This Row],[CAID]]</f>
        <v xml:space="preserve"> -  - </v>
      </c>
      <c r="N127" s="90"/>
    </row>
    <row r="128" spans="8:14" x14ac:dyDescent="0.25">
      <c r="H128" s="91"/>
      <c r="I128" s="91"/>
      <c r="J128" s="97"/>
      <c r="K128" s="79"/>
      <c r="L128" s="79"/>
      <c r="M128" s="79" t="str">
        <f>Table72818224324048566472[[#This Row],[DBA]]&amp;" - "&amp;Table72818224324048566472[[#This Row],[BIN]]&amp;" - "&amp;Table72818224324048566472[[#This Row],[CAID]]</f>
        <v xml:space="preserve"> -  - </v>
      </c>
      <c r="N128" s="90"/>
    </row>
    <row r="129" spans="8:14" x14ac:dyDescent="0.25">
      <c r="H129" s="91"/>
      <c r="I129" s="91"/>
      <c r="J129" s="97"/>
      <c r="K129" s="79"/>
      <c r="L129" s="79"/>
      <c r="M129" s="79" t="str">
        <f>Table72818224324048566472[[#This Row],[DBA]]&amp;" - "&amp;Table72818224324048566472[[#This Row],[BIN]]&amp;" - "&amp;Table72818224324048566472[[#This Row],[CAID]]</f>
        <v xml:space="preserve"> -  - </v>
      </c>
      <c r="N129" s="90"/>
    </row>
    <row r="130" spans="8:14" x14ac:dyDescent="0.25">
      <c r="H130" s="91"/>
      <c r="I130" s="91"/>
      <c r="J130" s="97"/>
      <c r="K130" s="79"/>
      <c r="L130" s="79"/>
      <c r="M130" s="79" t="str">
        <f>Table72818224324048566472[[#This Row],[DBA]]&amp;" - "&amp;Table72818224324048566472[[#This Row],[BIN]]&amp;" - "&amp;Table72818224324048566472[[#This Row],[CAID]]</f>
        <v xml:space="preserve"> -  - </v>
      </c>
      <c r="N130" s="90"/>
    </row>
    <row r="131" spans="8:14" x14ac:dyDescent="0.25">
      <c r="H131" s="91"/>
      <c r="I131" s="91"/>
      <c r="J131" s="97"/>
      <c r="K131" s="79"/>
      <c r="L131" s="79"/>
      <c r="M131" s="79" t="str">
        <f>Table72818224324048566472[[#This Row],[DBA]]&amp;" - "&amp;Table72818224324048566472[[#This Row],[BIN]]&amp;" - "&amp;Table72818224324048566472[[#This Row],[CAID]]</f>
        <v xml:space="preserve"> -  - </v>
      </c>
      <c r="N131" s="90"/>
    </row>
    <row r="132" spans="8:14" x14ac:dyDescent="0.25">
      <c r="H132" s="91"/>
      <c r="I132" s="91"/>
      <c r="J132" s="97"/>
      <c r="K132" s="79"/>
      <c r="L132" s="79"/>
      <c r="M132" s="79" t="str">
        <f>Table72818224324048566472[[#This Row],[DBA]]&amp;" - "&amp;Table72818224324048566472[[#This Row],[BIN]]&amp;" - "&amp;Table72818224324048566472[[#This Row],[CAID]]</f>
        <v xml:space="preserve"> -  - </v>
      </c>
      <c r="N132" s="90"/>
    </row>
    <row r="133" spans="8:14" x14ac:dyDescent="0.25">
      <c r="H133" s="91"/>
      <c r="I133" s="91"/>
      <c r="J133" s="97"/>
      <c r="K133" s="79"/>
      <c r="L133" s="79"/>
      <c r="M133" s="79" t="str">
        <f>Table72818224324048566472[[#This Row],[DBA]]&amp;" - "&amp;Table72818224324048566472[[#This Row],[BIN]]&amp;" - "&amp;Table72818224324048566472[[#This Row],[CAID]]</f>
        <v xml:space="preserve"> -  - </v>
      </c>
      <c r="N133" s="90"/>
    </row>
    <row r="134" spans="8:14" x14ac:dyDescent="0.25">
      <c r="H134" s="91"/>
      <c r="I134" s="91"/>
      <c r="J134" s="97"/>
      <c r="K134" s="79"/>
      <c r="L134" s="79"/>
      <c r="M134" s="79" t="str">
        <f>Table72818224324048566472[[#This Row],[DBA]]&amp;" - "&amp;Table72818224324048566472[[#This Row],[BIN]]&amp;" - "&amp;Table72818224324048566472[[#This Row],[CAID]]</f>
        <v xml:space="preserve"> -  - </v>
      </c>
      <c r="N134" s="90"/>
    </row>
    <row r="135" spans="8:14" x14ac:dyDescent="0.25">
      <c r="H135" s="91"/>
      <c r="I135" s="91"/>
      <c r="J135" s="97"/>
      <c r="K135" s="79"/>
      <c r="L135" s="79"/>
      <c r="M135" s="79" t="str">
        <f>Table72818224324048566472[[#This Row],[DBA]]&amp;" - "&amp;Table72818224324048566472[[#This Row],[BIN]]&amp;" - "&amp;Table72818224324048566472[[#This Row],[CAID]]</f>
        <v xml:space="preserve"> -  - </v>
      </c>
      <c r="N135" s="90"/>
    </row>
    <row r="136" spans="8:14" x14ac:dyDescent="0.25">
      <c r="H136" s="91"/>
      <c r="I136" s="91"/>
      <c r="J136" s="97"/>
      <c r="K136" s="79"/>
      <c r="L136" s="79"/>
      <c r="M136" s="79" t="str">
        <f>Table72818224324048566472[[#This Row],[DBA]]&amp;" - "&amp;Table72818224324048566472[[#This Row],[BIN]]&amp;" - "&amp;Table72818224324048566472[[#This Row],[CAID]]</f>
        <v xml:space="preserve"> -  - </v>
      </c>
      <c r="N136" s="90"/>
    </row>
    <row r="137" spans="8:14" x14ac:dyDescent="0.25">
      <c r="H137" s="91"/>
      <c r="I137" s="91"/>
      <c r="J137" s="97"/>
      <c r="K137" s="79"/>
      <c r="L137" s="79"/>
      <c r="M137" s="79" t="str">
        <f>Table72818224324048566472[[#This Row],[DBA]]&amp;" - "&amp;Table72818224324048566472[[#This Row],[BIN]]&amp;" - "&amp;Table72818224324048566472[[#This Row],[CAID]]</f>
        <v xml:space="preserve"> -  - </v>
      </c>
      <c r="N137" s="90"/>
    </row>
    <row r="138" spans="8:14" x14ac:dyDescent="0.25">
      <c r="H138" s="91"/>
      <c r="I138" s="91"/>
      <c r="J138" s="97"/>
      <c r="K138" s="79"/>
      <c r="L138" s="79"/>
      <c r="M138" s="79" t="str">
        <f>Table72818224324048566472[[#This Row],[DBA]]&amp;" - "&amp;Table72818224324048566472[[#This Row],[BIN]]&amp;" - "&amp;Table72818224324048566472[[#This Row],[CAID]]</f>
        <v xml:space="preserve"> -  - </v>
      </c>
      <c r="N138" s="90"/>
    </row>
    <row r="139" spans="8:14" x14ac:dyDescent="0.25">
      <c r="H139" s="91"/>
      <c r="I139" s="91"/>
      <c r="J139" s="97"/>
      <c r="K139" s="79"/>
      <c r="L139" s="79"/>
      <c r="M139" s="79" t="str">
        <f>Table72818224324048566472[[#This Row],[DBA]]&amp;" - "&amp;Table72818224324048566472[[#This Row],[BIN]]&amp;" - "&amp;Table72818224324048566472[[#This Row],[CAID]]</f>
        <v xml:space="preserve"> -  - </v>
      </c>
      <c r="N139" s="90"/>
    </row>
    <row r="140" spans="8:14" x14ac:dyDescent="0.25">
      <c r="H140" s="91"/>
      <c r="I140" s="91"/>
      <c r="J140" s="97"/>
      <c r="K140" s="79"/>
      <c r="L140" s="79"/>
      <c r="M140" s="79" t="str">
        <f>Table72818224324048566472[[#This Row],[DBA]]&amp;" - "&amp;Table72818224324048566472[[#This Row],[BIN]]&amp;" - "&amp;Table72818224324048566472[[#This Row],[CAID]]</f>
        <v xml:space="preserve"> -  - </v>
      </c>
      <c r="N140" s="90"/>
    </row>
    <row r="141" spans="8:14" x14ac:dyDescent="0.25">
      <c r="H141" s="91"/>
      <c r="I141" s="91"/>
      <c r="J141" s="97"/>
      <c r="K141" s="79"/>
      <c r="L141" s="79"/>
      <c r="M141" s="79" t="str">
        <f>Table72818224324048566472[[#This Row],[DBA]]&amp;" - "&amp;Table72818224324048566472[[#This Row],[BIN]]&amp;" - "&amp;Table72818224324048566472[[#This Row],[CAID]]</f>
        <v xml:space="preserve"> -  - </v>
      </c>
      <c r="N141" s="90"/>
    </row>
    <row r="142" spans="8:14" x14ac:dyDescent="0.25">
      <c r="H142" s="91"/>
      <c r="I142" s="91"/>
      <c r="J142" s="97"/>
      <c r="K142" s="79"/>
      <c r="L142" s="79"/>
      <c r="M142" s="79" t="str">
        <f>Table72818224324048566472[[#This Row],[DBA]]&amp;" - "&amp;Table72818224324048566472[[#This Row],[BIN]]&amp;" - "&amp;Table72818224324048566472[[#This Row],[CAID]]</f>
        <v xml:space="preserve"> -  - </v>
      </c>
      <c r="N142" s="90"/>
    </row>
    <row r="143" spans="8:14" x14ac:dyDescent="0.25">
      <c r="H143" s="91"/>
      <c r="I143" s="91"/>
      <c r="J143" s="97"/>
      <c r="K143" s="79"/>
      <c r="L143" s="79"/>
      <c r="M143" s="79" t="str">
        <f>Table72818224324048566472[[#This Row],[DBA]]&amp;" - "&amp;Table72818224324048566472[[#This Row],[BIN]]&amp;" - "&amp;Table72818224324048566472[[#This Row],[CAID]]</f>
        <v xml:space="preserve"> -  - </v>
      </c>
      <c r="N143" s="90"/>
    </row>
    <row r="144" spans="8:14" x14ac:dyDescent="0.25">
      <c r="H144" s="91"/>
      <c r="I144" s="91"/>
      <c r="J144" s="97"/>
      <c r="K144" s="79"/>
      <c r="L144" s="79"/>
      <c r="M144" s="79" t="str">
        <f>Table72818224324048566472[[#This Row],[DBA]]&amp;" - "&amp;Table72818224324048566472[[#This Row],[BIN]]&amp;" - "&amp;Table72818224324048566472[[#This Row],[CAID]]</f>
        <v xml:space="preserve"> -  - </v>
      </c>
      <c r="N144" s="90"/>
    </row>
    <row r="145" spans="8:14" x14ac:dyDescent="0.25">
      <c r="H145" s="91"/>
      <c r="I145" s="91"/>
      <c r="J145" s="97"/>
      <c r="K145" s="79"/>
      <c r="L145" s="79"/>
      <c r="M145" s="79" t="str">
        <f>Table72818224324048566472[[#This Row],[DBA]]&amp;" - "&amp;Table72818224324048566472[[#This Row],[BIN]]&amp;" - "&amp;Table72818224324048566472[[#This Row],[CAID]]</f>
        <v xml:space="preserve"> -  - </v>
      </c>
      <c r="N145" s="90"/>
    </row>
    <row r="146" spans="8:14" x14ac:dyDescent="0.25">
      <c r="H146" s="91"/>
      <c r="I146" s="91"/>
      <c r="J146" s="97"/>
      <c r="K146" s="79"/>
      <c r="L146" s="79"/>
      <c r="M146" s="79" t="str">
        <f>Table72818224324048566472[[#This Row],[DBA]]&amp;" - "&amp;Table72818224324048566472[[#This Row],[BIN]]&amp;" - "&amp;Table72818224324048566472[[#This Row],[CAID]]</f>
        <v xml:space="preserve"> -  - </v>
      </c>
      <c r="N146" s="90"/>
    </row>
    <row r="147" spans="8:14" x14ac:dyDescent="0.25">
      <c r="H147" s="91"/>
      <c r="I147" s="91"/>
      <c r="J147" s="97"/>
      <c r="K147" s="79"/>
      <c r="L147" s="79"/>
      <c r="M147" s="79" t="str">
        <f>Table72818224324048566472[[#This Row],[DBA]]&amp;" - "&amp;Table72818224324048566472[[#This Row],[BIN]]&amp;" - "&amp;Table72818224324048566472[[#This Row],[CAID]]</f>
        <v xml:space="preserve"> -  - </v>
      </c>
      <c r="N147" s="90"/>
    </row>
    <row r="148" spans="8:14" x14ac:dyDescent="0.25">
      <c r="H148" s="91"/>
      <c r="I148" s="91"/>
      <c r="J148" s="97"/>
      <c r="K148" s="79"/>
      <c r="L148" s="79"/>
      <c r="M148" s="79" t="str">
        <f>Table72818224324048566472[[#This Row],[DBA]]&amp;" - "&amp;Table72818224324048566472[[#This Row],[BIN]]&amp;" - "&amp;Table72818224324048566472[[#This Row],[CAID]]</f>
        <v xml:space="preserve"> -  - </v>
      </c>
      <c r="N148" s="90"/>
    </row>
    <row r="149" spans="8:14" x14ac:dyDescent="0.25">
      <c r="H149" s="91"/>
      <c r="I149" s="91"/>
      <c r="J149" s="97"/>
      <c r="K149" s="79"/>
      <c r="L149" s="79"/>
      <c r="M149" s="79" t="str">
        <f>Table72818224324048566472[[#This Row],[DBA]]&amp;" - "&amp;Table72818224324048566472[[#This Row],[BIN]]&amp;" - "&amp;Table72818224324048566472[[#This Row],[CAID]]</f>
        <v xml:space="preserve"> -  - </v>
      </c>
      <c r="N149" s="90"/>
    </row>
    <row r="150" spans="8:14" x14ac:dyDescent="0.25">
      <c r="H150" s="91"/>
      <c r="I150" s="91"/>
      <c r="J150" s="97"/>
      <c r="K150" s="79"/>
      <c r="L150" s="79"/>
      <c r="M150" s="79" t="str">
        <f>Table72818224324048566472[[#This Row],[DBA]]&amp;" - "&amp;Table72818224324048566472[[#This Row],[BIN]]&amp;" - "&amp;Table72818224324048566472[[#This Row],[CAID]]</f>
        <v xml:space="preserve"> -  - </v>
      </c>
      <c r="N150" s="90"/>
    </row>
    <row r="151" spans="8:14" x14ac:dyDescent="0.25">
      <c r="H151" s="91"/>
      <c r="I151" s="91"/>
      <c r="J151" s="97"/>
      <c r="K151" s="79"/>
      <c r="L151" s="79"/>
      <c r="M151" s="79" t="str">
        <f>Table72818224324048566472[[#This Row],[DBA]]&amp;" - "&amp;Table72818224324048566472[[#This Row],[BIN]]&amp;" - "&amp;Table72818224324048566472[[#This Row],[CAID]]</f>
        <v xml:space="preserve"> -  - </v>
      </c>
      <c r="N151" s="90"/>
    </row>
    <row r="152" spans="8:14" x14ac:dyDescent="0.25">
      <c r="H152" s="91"/>
      <c r="I152" s="91"/>
      <c r="J152" s="97"/>
      <c r="K152" s="79"/>
      <c r="L152" s="79"/>
      <c r="M152" s="79" t="str">
        <f>Table72818224324048566472[[#This Row],[DBA]]&amp;" - "&amp;Table72818224324048566472[[#This Row],[BIN]]&amp;" - "&amp;Table72818224324048566472[[#This Row],[CAID]]</f>
        <v xml:space="preserve"> -  - </v>
      </c>
      <c r="N152" s="90"/>
    </row>
    <row r="153" spans="8:14" x14ac:dyDescent="0.25">
      <c r="H153" s="91"/>
      <c r="I153" s="91"/>
      <c r="J153" s="97"/>
      <c r="K153" s="79"/>
      <c r="L153" s="79"/>
      <c r="M153" s="79" t="str">
        <f>Table72818224324048566472[[#This Row],[DBA]]&amp;" - "&amp;Table72818224324048566472[[#This Row],[BIN]]&amp;" - "&amp;Table72818224324048566472[[#This Row],[CAID]]</f>
        <v xml:space="preserve"> -  - </v>
      </c>
      <c r="N153" s="90"/>
    </row>
    <row r="154" spans="8:14" x14ac:dyDescent="0.25">
      <c r="H154" s="91"/>
      <c r="I154" s="91"/>
      <c r="J154" s="97"/>
      <c r="K154" s="79"/>
      <c r="L154" s="79"/>
      <c r="M154" s="79" t="str">
        <f>Table72818224324048566472[[#This Row],[DBA]]&amp;" - "&amp;Table72818224324048566472[[#This Row],[BIN]]&amp;" - "&amp;Table72818224324048566472[[#This Row],[CAID]]</f>
        <v xml:space="preserve"> -  - </v>
      </c>
      <c r="N154" s="90"/>
    </row>
    <row r="155" spans="8:14" x14ac:dyDescent="0.25">
      <c r="H155" s="91"/>
      <c r="I155" s="91"/>
      <c r="J155" s="97"/>
      <c r="K155" s="79"/>
      <c r="L155" s="79"/>
      <c r="M155" s="79" t="str">
        <f>Table72818224324048566472[[#This Row],[DBA]]&amp;" - "&amp;Table72818224324048566472[[#This Row],[BIN]]&amp;" - "&amp;Table72818224324048566472[[#This Row],[CAID]]</f>
        <v xml:space="preserve"> -  - </v>
      </c>
      <c r="N155" s="90"/>
    </row>
    <row r="156" spans="8:14" x14ac:dyDescent="0.25">
      <c r="H156" s="91"/>
      <c r="I156" s="91"/>
      <c r="J156" s="97"/>
      <c r="K156" s="79"/>
      <c r="L156" s="79"/>
      <c r="M156" s="79" t="str">
        <f>Table72818224324048566472[[#This Row],[DBA]]&amp;" - "&amp;Table72818224324048566472[[#This Row],[BIN]]&amp;" - "&amp;Table72818224324048566472[[#This Row],[CAID]]</f>
        <v xml:space="preserve"> -  - </v>
      </c>
      <c r="N156" s="90"/>
    </row>
    <row r="157" spans="8:14" x14ac:dyDescent="0.25">
      <c r="H157" s="91"/>
      <c r="I157" s="91"/>
      <c r="J157" s="97"/>
      <c r="K157" s="79"/>
      <c r="L157" s="79"/>
      <c r="M157" s="79" t="str">
        <f>Table72818224324048566472[[#This Row],[DBA]]&amp;" - "&amp;Table72818224324048566472[[#This Row],[BIN]]&amp;" - "&amp;Table72818224324048566472[[#This Row],[CAID]]</f>
        <v xml:space="preserve"> -  - </v>
      </c>
      <c r="N157" s="90"/>
    </row>
    <row r="158" spans="8:14" x14ac:dyDescent="0.25">
      <c r="H158" s="91"/>
      <c r="I158" s="91"/>
      <c r="J158" s="97"/>
      <c r="K158" s="79"/>
      <c r="L158" s="79"/>
      <c r="M158" s="79" t="str">
        <f>Table72818224324048566472[[#This Row],[DBA]]&amp;" - "&amp;Table72818224324048566472[[#This Row],[BIN]]&amp;" - "&amp;Table72818224324048566472[[#This Row],[CAID]]</f>
        <v xml:space="preserve"> -  - </v>
      </c>
      <c r="N158" s="90"/>
    </row>
    <row r="159" spans="8:14" x14ac:dyDescent="0.25">
      <c r="H159" s="91"/>
      <c r="I159" s="91"/>
      <c r="J159" s="97"/>
      <c r="K159" s="79"/>
      <c r="L159" s="79"/>
      <c r="M159" s="79" t="str">
        <f>Table72818224324048566472[[#This Row],[DBA]]&amp;" - "&amp;Table72818224324048566472[[#This Row],[BIN]]&amp;" - "&amp;Table72818224324048566472[[#This Row],[CAID]]</f>
        <v xml:space="preserve"> -  - </v>
      </c>
      <c r="N159" s="90"/>
    </row>
    <row r="160" spans="8:14" x14ac:dyDescent="0.25">
      <c r="H160" s="91"/>
      <c r="I160" s="91"/>
      <c r="J160" s="97"/>
      <c r="K160" s="79"/>
      <c r="L160" s="79"/>
      <c r="M160" s="79" t="str">
        <f>Table72818224324048566472[[#This Row],[DBA]]&amp;" - "&amp;Table72818224324048566472[[#This Row],[BIN]]&amp;" - "&amp;Table72818224324048566472[[#This Row],[CAID]]</f>
        <v xml:space="preserve"> -  - </v>
      </c>
      <c r="N160" s="90"/>
    </row>
    <row r="161" spans="8:14" x14ac:dyDescent="0.25">
      <c r="H161" s="91"/>
      <c r="I161" s="91"/>
      <c r="J161" s="97"/>
      <c r="K161" s="79"/>
      <c r="L161" s="79"/>
      <c r="M161" s="79" t="str">
        <f>Table72818224324048566472[[#This Row],[DBA]]&amp;" - "&amp;Table72818224324048566472[[#This Row],[BIN]]&amp;" - "&amp;Table72818224324048566472[[#This Row],[CAID]]</f>
        <v xml:space="preserve"> -  - </v>
      </c>
      <c r="N161" s="90"/>
    </row>
    <row r="162" spans="8:14" x14ac:dyDescent="0.25">
      <c r="H162" s="91"/>
      <c r="I162" s="91"/>
      <c r="J162" s="97"/>
      <c r="K162" s="79"/>
      <c r="L162" s="79"/>
      <c r="M162" s="79" t="str">
        <f>Table72818224324048566472[[#This Row],[DBA]]&amp;" - "&amp;Table72818224324048566472[[#This Row],[BIN]]&amp;" - "&amp;Table72818224324048566472[[#This Row],[CAID]]</f>
        <v xml:space="preserve"> -  - </v>
      </c>
      <c r="N162" s="90"/>
    </row>
    <row r="163" spans="8:14" x14ac:dyDescent="0.25">
      <c r="H163" s="91"/>
      <c r="I163" s="91"/>
      <c r="J163" s="97"/>
      <c r="K163" s="79"/>
      <c r="L163" s="79"/>
      <c r="M163" s="79" t="str">
        <f>Table72818224324048566472[[#This Row],[DBA]]&amp;" - "&amp;Table72818224324048566472[[#This Row],[BIN]]&amp;" - "&amp;Table72818224324048566472[[#This Row],[CAID]]</f>
        <v xml:space="preserve"> -  - </v>
      </c>
      <c r="N163" s="90"/>
    </row>
    <row r="164" spans="8:14" x14ac:dyDescent="0.25">
      <c r="H164" s="91"/>
      <c r="I164" s="91"/>
      <c r="J164" s="97"/>
      <c r="K164" s="79"/>
      <c r="L164" s="79"/>
      <c r="M164" s="79" t="str">
        <f>Table72818224324048566472[[#This Row],[DBA]]&amp;" - "&amp;Table72818224324048566472[[#This Row],[BIN]]&amp;" - "&amp;Table72818224324048566472[[#This Row],[CAID]]</f>
        <v xml:space="preserve"> -  - </v>
      </c>
      <c r="N164" s="90"/>
    </row>
    <row r="165" spans="8:14" x14ac:dyDescent="0.25">
      <c r="H165" s="91"/>
      <c r="I165" s="91"/>
      <c r="J165" s="97"/>
      <c r="K165" s="79"/>
      <c r="L165" s="79"/>
      <c r="M165" s="79" t="str">
        <f>Table72818224324048566472[[#This Row],[DBA]]&amp;" - "&amp;Table72818224324048566472[[#This Row],[BIN]]&amp;" - "&amp;Table72818224324048566472[[#This Row],[CAID]]</f>
        <v xml:space="preserve"> -  - </v>
      </c>
      <c r="N165" s="90"/>
    </row>
    <row r="166" spans="8:14" x14ac:dyDescent="0.25">
      <c r="H166" s="91"/>
      <c r="I166" s="91"/>
      <c r="J166" s="97"/>
      <c r="K166" s="79"/>
      <c r="L166" s="79"/>
      <c r="M166" s="79" t="str">
        <f>Table72818224324048566472[[#This Row],[DBA]]&amp;" - "&amp;Table72818224324048566472[[#This Row],[BIN]]&amp;" - "&amp;Table72818224324048566472[[#This Row],[CAID]]</f>
        <v xml:space="preserve"> -  - </v>
      </c>
      <c r="N166" s="90"/>
    </row>
    <row r="167" spans="8:14" x14ac:dyDescent="0.25">
      <c r="H167" s="91"/>
      <c r="I167" s="91"/>
      <c r="J167" s="97"/>
      <c r="K167" s="79"/>
      <c r="L167" s="79"/>
      <c r="M167" s="79" t="str">
        <f>Table72818224324048566472[[#This Row],[DBA]]&amp;" - "&amp;Table72818224324048566472[[#This Row],[BIN]]&amp;" - "&amp;Table72818224324048566472[[#This Row],[CAID]]</f>
        <v xml:space="preserve"> -  - </v>
      </c>
      <c r="N167" s="90"/>
    </row>
    <row r="168" spans="8:14" x14ac:dyDescent="0.25">
      <c r="H168" s="91"/>
      <c r="I168" s="91"/>
      <c r="J168" s="97"/>
      <c r="K168" s="79"/>
      <c r="L168" s="79"/>
      <c r="M168" s="79" t="str">
        <f>Table72818224324048566472[[#This Row],[DBA]]&amp;" - "&amp;Table72818224324048566472[[#This Row],[BIN]]&amp;" - "&amp;Table72818224324048566472[[#This Row],[CAID]]</f>
        <v xml:space="preserve"> -  - </v>
      </c>
      <c r="N168" s="90"/>
    </row>
    <row r="169" spans="8:14" x14ac:dyDescent="0.25">
      <c r="H169" s="91"/>
      <c r="I169" s="91"/>
      <c r="J169" s="97"/>
      <c r="K169" s="79"/>
      <c r="L169" s="79"/>
      <c r="M169" s="79" t="str">
        <f>Table72818224324048566472[[#This Row],[DBA]]&amp;" - "&amp;Table72818224324048566472[[#This Row],[BIN]]&amp;" - "&amp;Table72818224324048566472[[#This Row],[CAID]]</f>
        <v xml:space="preserve"> -  - </v>
      </c>
      <c r="N169" s="90"/>
    </row>
    <row r="170" spans="8:14" x14ac:dyDescent="0.25">
      <c r="H170" s="91"/>
      <c r="I170" s="91"/>
      <c r="J170" s="97"/>
      <c r="K170" s="79"/>
      <c r="L170" s="79"/>
      <c r="M170" s="79" t="str">
        <f>Table72818224324048566472[[#This Row],[DBA]]&amp;" - "&amp;Table72818224324048566472[[#This Row],[BIN]]&amp;" - "&amp;Table72818224324048566472[[#This Row],[CAID]]</f>
        <v xml:space="preserve"> -  - </v>
      </c>
      <c r="N170" s="90"/>
    </row>
    <row r="171" spans="8:14" x14ac:dyDescent="0.25">
      <c r="H171" s="91"/>
      <c r="I171" s="91"/>
      <c r="J171" s="97"/>
      <c r="K171" s="79"/>
      <c r="L171" s="79"/>
      <c r="M171" s="79" t="str">
        <f>Table72818224324048566472[[#This Row],[DBA]]&amp;" - "&amp;Table72818224324048566472[[#This Row],[BIN]]&amp;" - "&amp;Table72818224324048566472[[#This Row],[CAID]]</f>
        <v xml:space="preserve"> -  - </v>
      </c>
      <c r="N171" s="90"/>
    </row>
    <row r="172" spans="8:14" x14ac:dyDescent="0.25">
      <c r="H172" s="91"/>
      <c r="I172" s="91"/>
      <c r="J172" s="97"/>
      <c r="K172" s="79"/>
      <c r="L172" s="79"/>
      <c r="M172" s="79" t="str">
        <f>Table72818224324048566472[[#This Row],[DBA]]&amp;" - "&amp;Table72818224324048566472[[#This Row],[BIN]]&amp;" - "&amp;Table72818224324048566472[[#This Row],[CAID]]</f>
        <v xml:space="preserve"> -  - </v>
      </c>
      <c r="N172" s="90"/>
    </row>
    <row r="173" spans="8:14" x14ac:dyDescent="0.25">
      <c r="H173" s="91"/>
      <c r="I173" s="91"/>
      <c r="J173" s="97"/>
      <c r="K173" s="79"/>
      <c r="L173" s="79"/>
      <c r="M173" s="79" t="str">
        <f>Table72818224324048566472[[#This Row],[DBA]]&amp;" - "&amp;Table72818224324048566472[[#This Row],[BIN]]&amp;" - "&amp;Table72818224324048566472[[#This Row],[CAID]]</f>
        <v xml:space="preserve"> -  - </v>
      </c>
      <c r="N173" s="90"/>
    </row>
    <row r="174" spans="8:14" x14ac:dyDescent="0.25">
      <c r="H174" s="91"/>
      <c r="I174" s="91"/>
      <c r="J174" s="97"/>
      <c r="K174" s="79"/>
      <c r="L174" s="79"/>
      <c r="M174" s="79" t="str">
        <f>Table72818224324048566472[[#This Row],[DBA]]&amp;" - "&amp;Table72818224324048566472[[#This Row],[BIN]]&amp;" - "&amp;Table72818224324048566472[[#This Row],[CAID]]</f>
        <v xml:space="preserve"> -  - </v>
      </c>
      <c r="N174" s="90"/>
    </row>
    <row r="175" spans="8:14" x14ac:dyDescent="0.25">
      <c r="H175" s="91"/>
      <c r="I175" s="91"/>
      <c r="J175" s="97"/>
      <c r="K175" s="79"/>
      <c r="L175" s="79"/>
      <c r="M175" s="79" t="str">
        <f>Table72818224324048566472[[#This Row],[DBA]]&amp;" - "&amp;Table72818224324048566472[[#This Row],[BIN]]&amp;" - "&amp;Table72818224324048566472[[#This Row],[CAID]]</f>
        <v xml:space="preserve"> -  - </v>
      </c>
      <c r="N175" s="90"/>
    </row>
    <row r="176" spans="8:14" x14ac:dyDescent="0.25">
      <c r="H176" s="91"/>
      <c r="I176" s="91"/>
      <c r="J176" s="97"/>
      <c r="K176" s="79"/>
      <c r="L176" s="79"/>
      <c r="M176" s="79" t="str">
        <f>Table72818224324048566472[[#This Row],[DBA]]&amp;" - "&amp;Table72818224324048566472[[#This Row],[BIN]]&amp;" - "&amp;Table72818224324048566472[[#This Row],[CAID]]</f>
        <v xml:space="preserve"> -  - </v>
      </c>
      <c r="N176" s="90"/>
    </row>
    <row r="177" spans="8:14" x14ac:dyDescent="0.25">
      <c r="H177" s="91"/>
      <c r="I177" s="91"/>
      <c r="J177" s="97"/>
      <c r="K177" s="79"/>
      <c r="L177" s="79"/>
      <c r="M177" s="79" t="str">
        <f>Table72818224324048566472[[#This Row],[DBA]]&amp;" - "&amp;Table72818224324048566472[[#This Row],[BIN]]&amp;" - "&amp;Table72818224324048566472[[#This Row],[CAID]]</f>
        <v xml:space="preserve"> -  - </v>
      </c>
      <c r="N177" s="90"/>
    </row>
    <row r="178" spans="8:14" x14ac:dyDescent="0.25">
      <c r="H178" s="91"/>
      <c r="I178" s="91"/>
      <c r="J178" s="97"/>
      <c r="K178" s="79"/>
      <c r="L178" s="79"/>
      <c r="M178" s="79" t="str">
        <f>Table72818224324048566472[[#This Row],[DBA]]&amp;" - "&amp;Table72818224324048566472[[#This Row],[BIN]]&amp;" - "&amp;Table72818224324048566472[[#This Row],[CAID]]</f>
        <v xml:space="preserve"> -  - </v>
      </c>
      <c r="N178" s="90"/>
    </row>
    <row r="179" spans="8:14" x14ac:dyDescent="0.25">
      <c r="H179" s="91"/>
      <c r="I179" s="91"/>
      <c r="J179" s="97"/>
      <c r="K179" s="79"/>
      <c r="L179" s="79"/>
      <c r="M179" s="79" t="str">
        <f>Table72818224324048566472[[#This Row],[DBA]]&amp;" - "&amp;Table72818224324048566472[[#This Row],[BIN]]&amp;" - "&amp;Table72818224324048566472[[#This Row],[CAID]]</f>
        <v xml:space="preserve"> -  - </v>
      </c>
      <c r="N179" s="90"/>
    </row>
    <row r="180" spans="8:14" x14ac:dyDescent="0.25">
      <c r="H180" s="91"/>
      <c r="I180" s="91"/>
      <c r="J180" s="97"/>
      <c r="K180" s="79"/>
      <c r="L180" s="79"/>
      <c r="M180" s="79" t="str">
        <f>Table72818224324048566472[[#This Row],[DBA]]&amp;" - "&amp;Table72818224324048566472[[#This Row],[BIN]]&amp;" - "&amp;Table72818224324048566472[[#This Row],[CAID]]</f>
        <v xml:space="preserve"> -  - </v>
      </c>
      <c r="N180" s="90"/>
    </row>
    <row r="181" spans="8:14" x14ac:dyDescent="0.25">
      <c r="H181" s="91"/>
      <c r="I181" s="91"/>
      <c r="J181" s="97"/>
      <c r="K181" s="79"/>
      <c r="L181" s="79"/>
      <c r="M181" s="79" t="str">
        <f>Table72818224324048566472[[#This Row],[DBA]]&amp;" - "&amp;Table72818224324048566472[[#This Row],[BIN]]&amp;" - "&amp;Table72818224324048566472[[#This Row],[CAID]]</f>
        <v xml:space="preserve"> -  - </v>
      </c>
      <c r="N181" s="90"/>
    </row>
    <row r="182" spans="8:14" x14ac:dyDescent="0.25">
      <c r="H182" s="91"/>
      <c r="I182" s="91"/>
      <c r="J182" s="97"/>
      <c r="K182" s="79"/>
      <c r="L182" s="79"/>
      <c r="M182" s="79" t="str">
        <f>Table72818224324048566472[[#This Row],[DBA]]&amp;" - "&amp;Table72818224324048566472[[#This Row],[BIN]]&amp;" - "&amp;Table72818224324048566472[[#This Row],[CAID]]</f>
        <v xml:space="preserve"> -  - </v>
      </c>
      <c r="N182" s="90"/>
    </row>
    <row r="183" spans="8:14" x14ac:dyDescent="0.25">
      <c r="H183" s="91"/>
      <c r="I183" s="91"/>
      <c r="J183" s="97"/>
      <c r="K183" s="79"/>
      <c r="L183" s="79"/>
      <c r="M183" s="79" t="str">
        <f>Table72818224324048566472[[#This Row],[DBA]]&amp;" - "&amp;Table72818224324048566472[[#This Row],[BIN]]&amp;" - "&amp;Table72818224324048566472[[#This Row],[CAID]]</f>
        <v xml:space="preserve"> -  - </v>
      </c>
      <c r="N183" s="90"/>
    </row>
    <row r="184" spans="8:14" x14ac:dyDescent="0.25">
      <c r="H184" s="91"/>
      <c r="I184" s="91"/>
      <c r="J184" s="97"/>
      <c r="K184" s="79"/>
      <c r="L184" s="79"/>
      <c r="M184" s="79" t="str">
        <f>Table72818224324048566472[[#This Row],[DBA]]&amp;" - "&amp;Table72818224324048566472[[#This Row],[BIN]]&amp;" - "&amp;Table72818224324048566472[[#This Row],[CAID]]</f>
        <v xml:space="preserve"> -  - </v>
      </c>
      <c r="N184" s="90"/>
    </row>
    <row r="185" spans="8:14" x14ac:dyDescent="0.25">
      <c r="H185" s="91"/>
      <c r="I185" s="91"/>
      <c r="J185" s="97"/>
      <c r="K185" s="79"/>
      <c r="L185" s="79"/>
      <c r="M185" s="79" t="str">
        <f>Table72818224324048566472[[#This Row],[DBA]]&amp;" - "&amp;Table72818224324048566472[[#This Row],[BIN]]&amp;" - "&amp;Table72818224324048566472[[#This Row],[CAID]]</f>
        <v xml:space="preserve"> -  - </v>
      </c>
      <c r="N185" s="90"/>
    </row>
    <row r="186" spans="8:14" x14ac:dyDescent="0.25">
      <c r="H186" s="91"/>
      <c r="I186" s="91"/>
      <c r="J186" s="97"/>
      <c r="K186" s="79"/>
      <c r="L186" s="79"/>
      <c r="M186" s="79" t="str">
        <f>Table72818224324048566472[[#This Row],[DBA]]&amp;" - "&amp;Table72818224324048566472[[#This Row],[BIN]]&amp;" - "&amp;Table72818224324048566472[[#This Row],[CAID]]</f>
        <v xml:space="preserve"> -  - </v>
      </c>
      <c r="N186" s="90"/>
    </row>
    <row r="187" spans="8:14" x14ac:dyDescent="0.25">
      <c r="H187" s="91"/>
      <c r="I187" s="91"/>
      <c r="J187" s="97"/>
      <c r="K187" s="79"/>
      <c r="L187" s="79"/>
      <c r="M187" s="79" t="str">
        <f>Table72818224324048566472[[#This Row],[DBA]]&amp;" - "&amp;Table72818224324048566472[[#This Row],[BIN]]&amp;" - "&amp;Table72818224324048566472[[#This Row],[CAID]]</f>
        <v xml:space="preserve"> -  - </v>
      </c>
      <c r="N187" s="90"/>
    </row>
    <row r="188" spans="8:14" x14ac:dyDescent="0.25">
      <c r="H188" s="91"/>
      <c r="I188" s="91"/>
      <c r="J188" s="97"/>
      <c r="K188" s="79"/>
      <c r="L188" s="79"/>
      <c r="M188" s="79" t="str">
        <f>Table72818224324048566472[[#This Row],[DBA]]&amp;" - "&amp;Table72818224324048566472[[#This Row],[BIN]]&amp;" - "&amp;Table72818224324048566472[[#This Row],[CAID]]</f>
        <v xml:space="preserve"> -  - </v>
      </c>
      <c r="N188" s="90"/>
    </row>
    <row r="189" spans="8:14" x14ac:dyDescent="0.25">
      <c r="H189" s="91"/>
      <c r="I189" s="91"/>
      <c r="J189" s="97"/>
      <c r="K189" s="79"/>
      <c r="L189" s="79"/>
      <c r="M189" s="79" t="str">
        <f>Table72818224324048566472[[#This Row],[DBA]]&amp;" - "&amp;Table72818224324048566472[[#This Row],[BIN]]&amp;" - "&amp;Table72818224324048566472[[#This Row],[CAID]]</f>
        <v xml:space="preserve"> -  - </v>
      </c>
      <c r="N189" s="90"/>
    </row>
    <row r="190" spans="8:14" x14ac:dyDescent="0.25">
      <c r="H190" s="91"/>
      <c r="I190" s="91"/>
      <c r="J190" s="97"/>
      <c r="K190" s="79"/>
      <c r="L190" s="79"/>
      <c r="M190" s="79" t="str">
        <f>Table72818224324048566472[[#This Row],[DBA]]&amp;" - "&amp;Table72818224324048566472[[#This Row],[BIN]]&amp;" - "&amp;Table72818224324048566472[[#This Row],[CAID]]</f>
        <v xml:space="preserve"> -  - </v>
      </c>
      <c r="N190" s="90"/>
    </row>
    <row r="191" spans="8:14" x14ac:dyDescent="0.25">
      <c r="H191" s="91"/>
      <c r="I191" s="91"/>
      <c r="J191" s="97"/>
      <c r="K191" s="79"/>
      <c r="L191" s="79"/>
      <c r="M191" s="79" t="str">
        <f>Table72818224324048566472[[#This Row],[DBA]]&amp;" - "&amp;Table72818224324048566472[[#This Row],[BIN]]&amp;" - "&amp;Table72818224324048566472[[#This Row],[CAID]]</f>
        <v xml:space="preserve"> -  - </v>
      </c>
      <c r="N191" s="90"/>
    </row>
    <row r="192" spans="8:14" x14ac:dyDescent="0.25">
      <c r="H192" s="91"/>
      <c r="I192" s="91"/>
      <c r="J192" s="97"/>
      <c r="K192" s="79"/>
      <c r="L192" s="79"/>
      <c r="M192" s="79" t="str">
        <f>Table72818224324048566472[[#This Row],[DBA]]&amp;" - "&amp;Table72818224324048566472[[#This Row],[BIN]]&amp;" - "&amp;Table72818224324048566472[[#This Row],[CAID]]</f>
        <v xml:space="preserve"> -  - </v>
      </c>
      <c r="N192" s="90"/>
    </row>
    <row r="193" spans="8:14" x14ac:dyDescent="0.25">
      <c r="H193" s="91"/>
      <c r="I193" s="91"/>
      <c r="J193" s="97"/>
      <c r="K193" s="79"/>
      <c r="L193" s="79"/>
      <c r="M193" s="79" t="str">
        <f>Table72818224324048566472[[#This Row],[DBA]]&amp;" - "&amp;Table72818224324048566472[[#This Row],[BIN]]&amp;" - "&amp;Table72818224324048566472[[#This Row],[CAID]]</f>
        <v xml:space="preserve"> -  - </v>
      </c>
      <c r="N193" s="90"/>
    </row>
    <row r="194" spans="8:14" x14ac:dyDescent="0.25">
      <c r="H194" s="91"/>
      <c r="I194" s="91"/>
      <c r="J194" s="97"/>
      <c r="K194" s="79"/>
      <c r="L194" s="79"/>
      <c r="M194" s="79" t="str">
        <f>Table72818224324048566472[[#This Row],[DBA]]&amp;" - "&amp;Table72818224324048566472[[#This Row],[BIN]]&amp;" - "&amp;Table72818224324048566472[[#This Row],[CAID]]</f>
        <v xml:space="preserve"> -  - </v>
      </c>
      <c r="N194" s="90"/>
    </row>
    <row r="195" spans="8:14" x14ac:dyDescent="0.25">
      <c r="H195" s="91"/>
      <c r="I195" s="91"/>
      <c r="J195" s="97"/>
      <c r="K195" s="79"/>
      <c r="L195" s="79"/>
      <c r="M195" s="79" t="str">
        <f>Table72818224324048566472[[#This Row],[DBA]]&amp;" - "&amp;Table72818224324048566472[[#This Row],[BIN]]&amp;" - "&amp;Table72818224324048566472[[#This Row],[CAID]]</f>
        <v xml:space="preserve"> -  - </v>
      </c>
      <c r="N195" s="90"/>
    </row>
    <row r="196" spans="8:14" x14ac:dyDescent="0.25">
      <c r="H196" s="91"/>
      <c r="I196" s="91"/>
      <c r="J196" s="97"/>
      <c r="K196" s="79"/>
      <c r="L196" s="79"/>
      <c r="M196" s="79" t="str">
        <f>Table72818224324048566472[[#This Row],[DBA]]&amp;" - "&amp;Table72818224324048566472[[#This Row],[BIN]]&amp;" - "&amp;Table72818224324048566472[[#This Row],[CAID]]</f>
        <v xml:space="preserve"> -  - </v>
      </c>
      <c r="N196" s="90"/>
    </row>
    <row r="197" spans="8:14" x14ac:dyDescent="0.25">
      <c r="H197" s="91"/>
      <c r="I197" s="91"/>
      <c r="J197" s="97"/>
      <c r="K197" s="79"/>
      <c r="L197" s="79"/>
      <c r="M197" s="79" t="str">
        <f>Table72818224324048566472[[#This Row],[DBA]]&amp;" - "&amp;Table72818224324048566472[[#This Row],[BIN]]&amp;" - "&amp;Table72818224324048566472[[#This Row],[CAID]]</f>
        <v xml:space="preserve"> -  - </v>
      </c>
      <c r="N197" s="90"/>
    </row>
    <row r="198" spans="8:14" x14ac:dyDescent="0.25">
      <c r="H198" s="91"/>
      <c r="I198" s="91"/>
      <c r="J198" s="97"/>
      <c r="K198" s="79"/>
      <c r="L198" s="79"/>
      <c r="M198" s="79" t="str">
        <f>Table72818224324048566472[[#This Row],[DBA]]&amp;" - "&amp;Table72818224324048566472[[#This Row],[BIN]]&amp;" - "&amp;Table72818224324048566472[[#This Row],[CAID]]</f>
        <v xml:space="preserve"> -  - </v>
      </c>
      <c r="N198" s="90"/>
    </row>
    <row r="199" spans="8:14" x14ac:dyDescent="0.25">
      <c r="H199" s="91"/>
      <c r="I199" s="91"/>
      <c r="J199" s="97"/>
      <c r="K199" s="79"/>
      <c r="L199" s="79"/>
      <c r="M199" s="79" t="str">
        <f>Table72818224324048566472[[#This Row],[DBA]]&amp;" - "&amp;Table72818224324048566472[[#This Row],[BIN]]&amp;" - "&amp;Table72818224324048566472[[#This Row],[CAID]]</f>
        <v xml:space="preserve"> -  - </v>
      </c>
      <c r="N199" s="90"/>
    </row>
    <row r="200" spans="8:14" x14ac:dyDescent="0.25">
      <c r="H200" s="91"/>
      <c r="I200" s="91"/>
      <c r="J200" s="97"/>
      <c r="K200" s="79"/>
      <c r="L200" s="79"/>
      <c r="M200" s="79" t="str">
        <f>Table72818224324048566472[[#This Row],[DBA]]&amp;" - "&amp;Table72818224324048566472[[#This Row],[BIN]]&amp;" - "&amp;Table72818224324048566472[[#This Row],[CAID]]</f>
        <v xml:space="preserve"> -  - </v>
      </c>
      <c r="N200" s="90"/>
    </row>
    <row r="201" spans="8:14" x14ac:dyDescent="0.25">
      <c r="H201" s="91"/>
      <c r="I201" s="91"/>
      <c r="J201" s="97"/>
      <c r="K201" s="79"/>
      <c r="L201" s="79"/>
      <c r="M201" s="79" t="str">
        <f>Table72818224324048566472[[#This Row],[DBA]]&amp;" - "&amp;Table72818224324048566472[[#This Row],[BIN]]&amp;" - "&amp;Table72818224324048566472[[#This Row],[CAID]]</f>
        <v xml:space="preserve"> -  - </v>
      </c>
      <c r="N201" s="90"/>
    </row>
    <row r="202" spans="8:14" x14ac:dyDescent="0.25">
      <c r="H202" s="91"/>
      <c r="I202" s="91"/>
      <c r="J202" s="97"/>
      <c r="K202" s="79"/>
      <c r="L202" s="79"/>
      <c r="M202" s="79" t="str">
        <f>Table72818224324048566472[[#This Row],[DBA]]&amp;" - "&amp;Table72818224324048566472[[#This Row],[BIN]]&amp;" - "&amp;Table72818224324048566472[[#This Row],[CAID]]</f>
        <v xml:space="preserve"> -  - </v>
      </c>
      <c r="N202" s="90"/>
    </row>
    <row r="203" spans="8:14" x14ac:dyDescent="0.25">
      <c r="H203" s="91"/>
      <c r="I203" s="91"/>
      <c r="J203" s="97"/>
      <c r="K203" s="79"/>
      <c r="L203" s="79"/>
      <c r="M203" s="79" t="str">
        <f>Table72818224324048566472[[#This Row],[DBA]]&amp;" - "&amp;Table72818224324048566472[[#This Row],[BIN]]&amp;" - "&amp;Table72818224324048566472[[#This Row],[CAID]]</f>
        <v xml:space="preserve"> -  - </v>
      </c>
      <c r="N203" s="90"/>
    </row>
    <row r="204" spans="8:14" x14ac:dyDescent="0.25">
      <c r="H204" s="91"/>
      <c r="I204" s="91"/>
      <c r="J204" s="97"/>
      <c r="K204" s="79"/>
      <c r="L204" s="79"/>
      <c r="M204" s="79" t="str">
        <f>Table72818224324048566472[[#This Row],[DBA]]&amp;" - "&amp;Table72818224324048566472[[#This Row],[BIN]]&amp;" - "&amp;Table72818224324048566472[[#This Row],[CAID]]</f>
        <v xml:space="preserve"> -  - </v>
      </c>
      <c r="N204" s="90"/>
    </row>
    <row r="205" spans="8:14" x14ac:dyDescent="0.25">
      <c r="H205" s="91"/>
      <c r="I205" s="91"/>
      <c r="J205" s="97"/>
      <c r="K205" s="79"/>
      <c r="L205" s="79"/>
      <c r="M205" s="79" t="str">
        <f>Table72818224324048566472[[#This Row],[DBA]]&amp;" - "&amp;Table72818224324048566472[[#This Row],[BIN]]&amp;" - "&amp;Table72818224324048566472[[#This Row],[CAID]]</f>
        <v xml:space="preserve"> -  - </v>
      </c>
      <c r="N205" s="90"/>
    </row>
    <row r="206" spans="8:14" x14ac:dyDescent="0.25">
      <c r="H206" s="91"/>
      <c r="I206" s="91"/>
      <c r="J206" s="97"/>
      <c r="K206" s="79"/>
      <c r="L206" s="79"/>
      <c r="M206" s="79" t="str">
        <f>Table72818224324048566472[[#This Row],[DBA]]&amp;" - "&amp;Table72818224324048566472[[#This Row],[BIN]]&amp;" - "&amp;Table72818224324048566472[[#This Row],[CAID]]</f>
        <v xml:space="preserve"> -  - </v>
      </c>
      <c r="N206" s="90"/>
    </row>
    <row r="207" spans="8:14" x14ac:dyDescent="0.25">
      <c r="H207" s="91"/>
      <c r="I207" s="91"/>
      <c r="J207" s="97"/>
      <c r="K207" s="79"/>
      <c r="L207" s="79"/>
      <c r="M207" s="79" t="str">
        <f>Table72818224324048566472[[#This Row],[DBA]]&amp;" - "&amp;Table72818224324048566472[[#This Row],[BIN]]&amp;" - "&amp;Table72818224324048566472[[#This Row],[CAID]]</f>
        <v xml:space="preserve"> -  - </v>
      </c>
      <c r="N207" s="90"/>
    </row>
    <row r="208" spans="8:14" x14ac:dyDescent="0.25">
      <c r="H208" s="91"/>
      <c r="I208" s="91"/>
      <c r="J208" s="97"/>
      <c r="K208" s="79"/>
      <c r="L208" s="79"/>
      <c r="M208" s="79" t="str">
        <f>Table72818224324048566472[[#This Row],[DBA]]&amp;" - "&amp;Table72818224324048566472[[#This Row],[BIN]]&amp;" - "&amp;Table72818224324048566472[[#This Row],[CAID]]</f>
        <v xml:space="preserve"> -  - </v>
      </c>
      <c r="N208" s="90"/>
    </row>
    <row r="209" spans="8:14" x14ac:dyDescent="0.25">
      <c r="H209" s="91"/>
      <c r="I209" s="91"/>
      <c r="J209" s="97"/>
      <c r="K209" s="79"/>
      <c r="L209" s="79"/>
      <c r="M209" s="79" t="str">
        <f>Table72818224324048566472[[#This Row],[DBA]]&amp;" - "&amp;Table72818224324048566472[[#This Row],[BIN]]&amp;" - "&amp;Table72818224324048566472[[#This Row],[CAID]]</f>
        <v xml:space="preserve"> -  - </v>
      </c>
      <c r="N209" s="90"/>
    </row>
    <row r="210" spans="8:14" x14ac:dyDescent="0.25">
      <c r="H210" s="91"/>
      <c r="I210" s="91"/>
      <c r="J210" s="97"/>
      <c r="K210" s="79"/>
      <c r="L210" s="79"/>
      <c r="M210" s="79" t="str">
        <f>Table72818224324048566472[[#This Row],[DBA]]&amp;" - "&amp;Table72818224324048566472[[#This Row],[BIN]]&amp;" - "&amp;Table72818224324048566472[[#This Row],[CAID]]</f>
        <v xml:space="preserve"> -  - </v>
      </c>
      <c r="N210" s="90"/>
    </row>
    <row r="211" spans="8:14" x14ac:dyDescent="0.25">
      <c r="H211" s="91"/>
      <c r="I211" s="91"/>
      <c r="J211" s="97"/>
      <c r="K211" s="79"/>
      <c r="L211" s="79"/>
      <c r="M211" s="79" t="str">
        <f>Table72818224324048566472[[#This Row],[DBA]]&amp;" - "&amp;Table72818224324048566472[[#This Row],[BIN]]&amp;" - "&amp;Table72818224324048566472[[#This Row],[CAID]]</f>
        <v xml:space="preserve"> -  - </v>
      </c>
      <c r="N211" s="90"/>
    </row>
    <row r="212" spans="8:14" x14ac:dyDescent="0.25">
      <c r="H212" s="91"/>
      <c r="I212" s="91"/>
      <c r="J212" s="97"/>
      <c r="K212" s="79"/>
      <c r="L212" s="79"/>
      <c r="M212" s="79" t="str">
        <f>Table72818224324048566472[[#This Row],[DBA]]&amp;" - "&amp;Table72818224324048566472[[#This Row],[BIN]]&amp;" - "&amp;Table72818224324048566472[[#This Row],[CAID]]</f>
        <v xml:space="preserve"> -  - </v>
      </c>
      <c r="N212" s="90"/>
    </row>
    <row r="213" spans="8:14" x14ac:dyDescent="0.25">
      <c r="H213" s="91"/>
      <c r="I213" s="91"/>
      <c r="J213" s="97"/>
      <c r="K213" s="79"/>
      <c r="L213" s="79"/>
      <c r="M213" s="79" t="str">
        <f>Table72818224324048566472[[#This Row],[DBA]]&amp;" - "&amp;Table72818224324048566472[[#This Row],[BIN]]&amp;" - "&amp;Table72818224324048566472[[#This Row],[CAID]]</f>
        <v xml:space="preserve"> -  - </v>
      </c>
      <c r="N213" s="90"/>
    </row>
    <row r="214" spans="8:14" x14ac:dyDescent="0.25">
      <c r="H214" s="91"/>
      <c r="I214" s="91"/>
      <c r="J214" s="97"/>
      <c r="K214" s="79"/>
      <c r="L214" s="79"/>
      <c r="M214" s="79" t="str">
        <f>Table72818224324048566472[[#This Row],[DBA]]&amp;" - "&amp;Table72818224324048566472[[#This Row],[BIN]]&amp;" - "&amp;Table72818224324048566472[[#This Row],[CAID]]</f>
        <v xml:space="preserve"> -  - </v>
      </c>
      <c r="N214" s="90"/>
    </row>
    <row r="215" spans="8:14" x14ac:dyDescent="0.25">
      <c r="H215" s="91"/>
      <c r="I215" s="91"/>
      <c r="J215" s="97"/>
      <c r="K215" s="79"/>
      <c r="L215" s="79"/>
      <c r="M215" s="79" t="str">
        <f>Table72818224324048566472[[#This Row],[DBA]]&amp;" - "&amp;Table72818224324048566472[[#This Row],[BIN]]&amp;" - "&amp;Table72818224324048566472[[#This Row],[CAID]]</f>
        <v xml:space="preserve"> -  - </v>
      </c>
      <c r="N215" s="90"/>
    </row>
    <row r="216" spans="8:14" x14ac:dyDescent="0.25">
      <c r="H216" s="91"/>
      <c r="I216" s="91"/>
      <c r="J216" s="97"/>
      <c r="K216" s="79"/>
      <c r="L216" s="79"/>
      <c r="M216" s="79" t="str">
        <f>Table72818224324048566472[[#This Row],[DBA]]&amp;" - "&amp;Table72818224324048566472[[#This Row],[BIN]]&amp;" - "&amp;Table72818224324048566472[[#This Row],[CAID]]</f>
        <v xml:space="preserve"> -  - </v>
      </c>
      <c r="N216" s="90"/>
    </row>
    <row r="217" spans="8:14" x14ac:dyDescent="0.25">
      <c r="H217" s="91"/>
      <c r="I217" s="91"/>
      <c r="J217" s="97"/>
      <c r="K217" s="79"/>
      <c r="L217" s="79"/>
      <c r="M217" s="79" t="str">
        <f>Table72818224324048566472[[#This Row],[DBA]]&amp;" - "&amp;Table72818224324048566472[[#This Row],[BIN]]&amp;" - "&amp;Table72818224324048566472[[#This Row],[CAID]]</f>
        <v xml:space="preserve"> -  - </v>
      </c>
      <c r="N217" s="90"/>
    </row>
    <row r="218" spans="8:14" x14ac:dyDescent="0.25">
      <c r="H218" s="91"/>
      <c r="I218" s="91"/>
      <c r="J218" s="97"/>
      <c r="K218" s="79"/>
      <c r="L218" s="79"/>
      <c r="M218" s="79" t="str">
        <f>Table72818224324048566472[[#This Row],[DBA]]&amp;" - "&amp;Table72818224324048566472[[#This Row],[BIN]]&amp;" - "&amp;Table72818224324048566472[[#This Row],[CAID]]</f>
        <v xml:space="preserve"> -  - </v>
      </c>
      <c r="N218" s="90"/>
    </row>
    <row r="219" spans="8:14" x14ac:dyDescent="0.25">
      <c r="H219" s="91"/>
      <c r="I219" s="91"/>
      <c r="J219" s="97"/>
      <c r="K219" s="79"/>
      <c r="L219" s="79"/>
      <c r="M219" s="79" t="str">
        <f>Table72818224324048566472[[#This Row],[DBA]]&amp;" - "&amp;Table72818224324048566472[[#This Row],[BIN]]&amp;" - "&amp;Table72818224324048566472[[#This Row],[CAID]]</f>
        <v xml:space="preserve"> -  - </v>
      </c>
      <c r="N219" s="90"/>
    </row>
    <row r="220" spans="8:14" x14ac:dyDescent="0.25">
      <c r="H220" s="91"/>
      <c r="I220" s="91"/>
      <c r="J220" s="97"/>
      <c r="K220" s="79"/>
      <c r="L220" s="79"/>
      <c r="M220" s="79" t="str">
        <f>Table72818224324048566472[[#This Row],[DBA]]&amp;" - "&amp;Table72818224324048566472[[#This Row],[BIN]]&amp;" - "&amp;Table72818224324048566472[[#This Row],[CAID]]</f>
        <v xml:space="preserve"> -  - </v>
      </c>
      <c r="N220" s="90"/>
    </row>
    <row r="221" spans="8:14" x14ac:dyDescent="0.25">
      <c r="H221" s="91"/>
      <c r="I221" s="91"/>
      <c r="J221" s="97"/>
      <c r="K221" s="79"/>
      <c r="L221" s="79"/>
      <c r="M221" s="79" t="str">
        <f>Table72818224324048566472[[#This Row],[DBA]]&amp;" - "&amp;Table72818224324048566472[[#This Row],[BIN]]&amp;" - "&amp;Table72818224324048566472[[#This Row],[CAID]]</f>
        <v xml:space="preserve"> -  - </v>
      </c>
      <c r="N221" s="90"/>
    </row>
    <row r="222" spans="8:14" x14ac:dyDescent="0.25">
      <c r="H222" s="91"/>
      <c r="I222" s="91"/>
      <c r="J222" s="97"/>
      <c r="K222" s="79"/>
      <c r="L222" s="79"/>
      <c r="M222" s="79" t="str">
        <f>Table72818224324048566472[[#This Row],[DBA]]&amp;" - "&amp;Table72818224324048566472[[#This Row],[BIN]]&amp;" - "&amp;Table72818224324048566472[[#This Row],[CAID]]</f>
        <v xml:space="preserve"> -  - </v>
      </c>
      <c r="N222" s="90"/>
    </row>
    <row r="223" spans="8:14" x14ac:dyDescent="0.25">
      <c r="H223" s="91"/>
      <c r="I223" s="91"/>
      <c r="J223" s="97"/>
      <c r="K223" s="79"/>
      <c r="L223" s="79"/>
      <c r="M223" s="79" t="str">
        <f>Table72818224324048566472[[#This Row],[DBA]]&amp;" - "&amp;Table72818224324048566472[[#This Row],[BIN]]&amp;" - "&amp;Table72818224324048566472[[#This Row],[CAID]]</f>
        <v xml:space="preserve"> -  - </v>
      </c>
      <c r="N223" s="90"/>
    </row>
    <row r="224" spans="8:14" x14ac:dyDescent="0.25">
      <c r="H224" s="91"/>
      <c r="I224" s="91"/>
      <c r="J224" s="97"/>
      <c r="K224" s="79"/>
      <c r="L224" s="79"/>
      <c r="M224" s="79" t="str">
        <f>Table72818224324048566472[[#This Row],[DBA]]&amp;" - "&amp;Table72818224324048566472[[#This Row],[BIN]]&amp;" - "&amp;Table72818224324048566472[[#This Row],[CAID]]</f>
        <v xml:space="preserve"> -  - </v>
      </c>
      <c r="N224" s="90"/>
    </row>
    <row r="225" spans="8:14" x14ac:dyDescent="0.25">
      <c r="H225" s="91"/>
      <c r="I225" s="91"/>
      <c r="J225" s="97"/>
      <c r="K225" s="79"/>
      <c r="L225" s="79"/>
      <c r="M225" s="79" t="str">
        <f>Table72818224324048566472[[#This Row],[DBA]]&amp;" - "&amp;Table72818224324048566472[[#This Row],[BIN]]&amp;" - "&amp;Table72818224324048566472[[#This Row],[CAID]]</f>
        <v xml:space="preserve"> -  - </v>
      </c>
      <c r="N225" s="90"/>
    </row>
    <row r="226" spans="8:14" x14ac:dyDescent="0.25">
      <c r="H226" s="91"/>
      <c r="I226" s="91"/>
      <c r="J226" s="97"/>
      <c r="K226" s="79"/>
      <c r="L226" s="79"/>
      <c r="M226" s="79" t="str">
        <f>Table72818224324048566472[[#This Row],[DBA]]&amp;" - "&amp;Table72818224324048566472[[#This Row],[BIN]]&amp;" - "&amp;Table72818224324048566472[[#This Row],[CAID]]</f>
        <v xml:space="preserve"> -  - </v>
      </c>
      <c r="N226" s="90"/>
    </row>
    <row r="227" spans="8:14" x14ac:dyDescent="0.25">
      <c r="H227" s="91"/>
      <c r="I227" s="91"/>
      <c r="J227" s="97"/>
      <c r="K227" s="79"/>
      <c r="L227" s="79"/>
      <c r="M227" s="79" t="str">
        <f>Table72818224324048566472[[#This Row],[DBA]]&amp;" - "&amp;Table72818224324048566472[[#This Row],[BIN]]&amp;" - "&amp;Table72818224324048566472[[#This Row],[CAID]]</f>
        <v xml:space="preserve"> -  - </v>
      </c>
      <c r="N227" s="90"/>
    </row>
    <row r="228" spans="8:14" x14ac:dyDescent="0.25">
      <c r="H228" s="91"/>
      <c r="I228" s="91"/>
      <c r="J228" s="97"/>
      <c r="K228" s="79"/>
      <c r="L228" s="79"/>
      <c r="M228" s="79" t="str">
        <f>Table72818224324048566472[[#This Row],[DBA]]&amp;" - "&amp;Table72818224324048566472[[#This Row],[BIN]]&amp;" - "&amp;Table72818224324048566472[[#This Row],[CAID]]</f>
        <v xml:space="preserve"> -  - </v>
      </c>
      <c r="N228" s="90"/>
    </row>
    <row r="229" spans="8:14" x14ac:dyDescent="0.25">
      <c r="H229" s="91"/>
      <c r="I229" s="91"/>
      <c r="J229" s="97"/>
      <c r="K229" s="79"/>
      <c r="L229" s="79"/>
      <c r="M229" s="79" t="str">
        <f>Table72818224324048566472[[#This Row],[DBA]]&amp;" - "&amp;Table72818224324048566472[[#This Row],[BIN]]&amp;" - "&amp;Table72818224324048566472[[#This Row],[CAID]]</f>
        <v xml:space="preserve"> -  - </v>
      </c>
      <c r="N229" s="90"/>
    </row>
    <row r="230" spans="8:14" x14ac:dyDescent="0.25">
      <c r="H230" s="91"/>
      <c r="I230" s="91"/>
      <c r="J230" s="97"/>
      <c r="K230" s="79"/>
      <c r="L230" s="79"/>
      <c r="M230" s="79" t="str">
        <f>Table72818224324048566472[[#This Row],[DBA]]&amp;" - "&amp;Table72818224324048566472[[#This Row],[BIN]]&amp;" - "&amp;Table72818224324048566472[[#This Row],[CAID]]</f>
        <v xml:space="preserve"> -  - </v>
      </c>
      <c r="N230" s="90"/>
    </row>
    <row r="231" spans="8:14" x14ac:dyDescent="0.25">
      <c r="H231" s="91"/>
      <c r="I231" s="91"/>
      <c r="J231" s="97"/>
      <c r="K231" s="79"/>
      <c r="L231" s="79"/>
      <c r="M231" s="79" t="str">
        <f>Table72818224324048566472[[#This Row],[DBA]]&amp;" - "&amp;Table72818224324048566472[[#This Row],[BIN]]&amp;" - "&amp;Table72818224324048566472[[#This Row],[CAID]]</f>
        <v xml:space="preserve"> -  - </v>
      </c>
      <c r="N231" s="90"/>
    </row>
    <row r="232" spans="8:14" x14ac:dyDescent="0.25">
      <c r="H232" s="91"/>
      <c r="I232" s="91"/>
      <c r="J232" s="97"/>
      <c r="K232" s="79"/>
      <c r="L232" s="79"/>
      <c r="M232" s="79" t="str">
        <f>Table72818224324048566472[[#This Row],[DBA]]&amp;" - "&amp;Table72818224324048566472[[#This Row],[BIN]]&amp;" - "&amp;Table72818224324048566472[[#This Row],[CAID]]</f>
        <v xml:space="preserve"> -  - </v>
      </c>
      <c r="N232" s="90"/>
    </row>
    <row r="233" spans="8:14" x14ac:dyDescent="0.25">
      <c r="H233" s="91"/>
      <c r="I233" s="91"/>
      <c r="J233" s="97"/>
      <c r="K233" s="79"/>
      <c r="L233" s="79"/>
      <c r="M233" s="79" t="str">
        <f>Table72818224324048566472[[#This Row],[DBA]]&amp;" - "&amp;Table72818224324048566472[[#This Row],[BIN]]&amp;" - "&amp;Table72818224324048566472[[#This Row],[CAID]]</f>
        <v xml:space="preserve"> -  - </v>
      </c>
      <c r="N233" s="90"/>
    </row>
    <row r="234" spans="8:14" x14ac:dyDescent="0.25">
      <c r="H234" s="91"/>
      <c r="I234" s="91"/>
      <c r="J234" s="97"/>
      <c r="K234" s="79"/>
      <c r="L234" s="79"/>
      <c r="M234" s="79" t="str">
        <f>Table72818224324048566472[[#This Row],[DBA]]&amp;" - "&amp;Table72818224324048566472[[#This Row],[BIN]]&amp;" - "&amp;Table72818224324048566472[[#This Row],[CAID]]</f>
        <v xml:space="preserve"> -  - </v>
      </c>
      <c r="N234" s="90"/>
    </row>
    <row r="235" spans="8:14" x14ac:dyDescent="0.25">
      <c r="H235" s="91"/>
      <c r="I235" s="91"/>
      <c r="J235" s="97"/>
      <c r="K235" s="79"/>
      <c r="L235" s="79"/>
      <c r="M235" s="79" t="str">
        <f>Table72818224324048566472[[#This Row],[DBA]]&amp;" - "&amp;Table72818224324048566472[[#This Row],[BIN]]&amp;" - "&amp;Table72818224324048566472[[#This Row],[CAID]]</f>
        <v xml:space="preserve"> -  - </v>
      </c>
      <c r="N235" s="90"/>
    </row>
    <row r="236" spans="8:14" x14ac:dyDescent="0.25">
      <c r="H236" s="91"/>
      <c r="I236" s="91"/>
      <c r="J236" s="97"/>
      <c r="K236" s="79"/>
      <c r="L236" s="79"/>
      <c r="M236" s="79" t="str">
        <f>Table72818224324048566472[[#This Row],[DBA]]&amp;" - "&amp;Table72818224324048566472[[#This Row],[BIN]]&amp;" - "&amp;Table72818224324048566472[[#This Row],[CAID]]</f>
        <v xml:space="preserve"> -  - </v>
      </c>
      <c r="N236" s="90"/>
    </row>
    <row r="237" spans="8:14" x14ac:dyDescent="0.25">
      <c r="H237" s="91"/>
      <c r="I237" s="91"/>
      <c r="J237" s="97"/>
      <c r="K237" s="79"/>
      <c r="L237" s="79"/>
      <c r="M237" s="79" t="str">
        <f>Table72818224324048566472[[#This Row],[DBA]]&amp;" - "&amp;Table72818224324048566472[[#This Row],[BIN]]&amp;" - "&amp;Table72818224324048566472[[#This Row],[CAID]]</f>
        <v xml:space="preserve"> -  - </v>
      </c>
      <c r="N237" s="90"/>
    </row>
    <row r="238" spans="8:14" x14ac:dyDescent="0.25">
      <c r="H238" s="91"/>
      <c r="I238" s="91"/>
      <c r="J238" s="97"/>
      <c r="K238" s="79"/>
      <c r="L238" s="79"/>
      <c r="M238" s="79" t="str">
        <f>Table72818224324048566472[[#This Row],[DBA]]&amp;" - "&amp;Table72818224324048566472[[#This Row],[BIN]]&amp;" - "&amp;Table72818224324048566472[[#This Row],[CAID]]</f>
        <v xml:space="preserve"> -  - </v>
      </c>
      <c r="N238" s="90"/>
    </row>
    <row r="239" spans="8:14" x14ac:dyDescent="0.25">
      <c r="H239" s="91"/>
      <c r="I239" s="91"/>
      <c r="J239" s="97"/>
      <c r="K239" s="79"/>
      <c r="L239" s="79"/>
      <c r="M239" s="79" t="str">
        <f>Table72818224324048566472[[#This Row],[DBA]]&amp;" - "&amp;Table72818224324048566472[[#This Row],[BIN]]&amp;" - "&amp;Table72818224324048566472[[#This Row],[CAID]]</f>
        <v xml:space="preserve"> -  - </v>
      </c>
      <c r="N239" s="90"/>
    </row>
    <row r="240" spans="8:14" x14ac:dyDescent="0.25">
      <c r="H240" s="91"/>
      <c r="I240" s="91"/>
      <c r="J240" s="97"/>
      <c r="K240" s="79"/>
      <c r="L240" s="79"/>
      <c r="M240" s="79" t="str">
        <f>Table72818224324048566472[[#This Row],[DBA]]&amp;" - "&amp;Table72818224324048566472[[#This Row],[BIN]]&amp;" - "&amp;Table72818224324048566472[[#This Row],[CAID]]</f>
        <v xml:space="preserve"> -  - </v>
      </c>
      <c r="N240" s="90"/>
    </row>
    <row r="241" spans="8:14" x14ac:dyDescent="0.25">
      <c r="H241" s="91"/>
      <c r="I241" s="91"/>
      <c r="J241" s="97"/>
      <c r="K241" s="79"/>
      <c r="L241" s="79"/>
      <c r="M241" s="79" t="str">
        <f>Table72818224324048566472[[#This Row],[DBA]]&amp;" - "&amp;Table72818224324048566472[[#This Row],[BIN]]&amp;" - "&amp;Table72818224324048566472[[#This Row],[CAID]]</f>
        <v xml:space="preserve"> -  - </v>
      </c>
      <c r="N241" s="90"/>
    </row>
    <row r="242" spans="8:14" x14ac:dyDescent="0.25">
      <c r="H242" s="91"/>
      <c r="I242" s="91"/>
      <c r="J242" s="97"/>
      <c r="K242" s="79"/>
      <c r="L242" s="79"/>
      <c r="M242" s="79" t="str">
        <f>Table72818224324048566472[[#This Row],[DBA]]&amp;" - "&amp;Table72818224324048566472[[#This Row],[BIN]]&amp;" - "&amp;Table72818224324048566472[[#This Row],[CAID]]</f>
        <v xml:space="preserve"> -  - </v>
      </c>
      <c r="N242" s="90"/>
    </row>
    <row r="243" spans="8:14" x14ac:dyDescent="0.25">
      <c r="H243" s="91"/>
      <c r="I243" s="91"/>
      <c r="J243" s="97"/>
      <c r="K243" s="79"/>
      <c r="L243" s="79"/>
      <c r="M243" s="79" t="str">
        <f>Table72818224324048566472[[#This Row],[DBA]]&amp;" - "&amp;Table72818224324048566472[[#This Row],[BIN]]&amp;" - "&amp;Table72818224324048566472[[#This Row],[CAID]]</f>
        <v xml:space="preserve"> -  - </v>
      </c>
      <c r="N243" s="90"/>
    </row>
    <row r="244" spans="8:14" x14ac:dyDescent="0.25">
      <c r="H244" s="91"/>
      <c r="I244" s="91"/>
      <c r="J244" s="97"/>
      <c r="K244" s="79"/>
      <c r="L244" s="79"/>
      <c r="M244" s="79" t="str">
        <f>Table72818224324048566472[[#This Row],[DBA]]&amp;" - "&amp;Table72818224324048566472[[#This Row],[BIN]]&amp;" - "&amp;Table72818224324048566472[[#This Row],[CAID]]</f>
        <v xml:space="preserve"> -  - </v>
      </c>
      <c r="N244" s="90"/>
    </row>
    <row r="245" spans="8:14" x14ac:dyDescent="0.25">
      <c r="H245" s="91"/>
      <c r="I245" s="91"/>
      <c r="J245" s="97"/>
      <c r="K245" s="79"/>
      <c r="L245" s="79"/>
      <c r="M245" s="79" t="str">
        <f>Table72818224324048566472[[#This Row],[DBA]]&amp;" - "&amp;Table72818224324048566472[[#This Row],[BIN]]&amp;" - "&amp;Table72818224324048566472[[#This Row],[CAID]]</f>
        <v xml:space="preserve"> -  - </v>
      </c>
      <c r="N245" s="90"/>
    </row>
    <row r="246" spans="8:14" x14ac:dyDescent="0.25">
      <c r="H246" s="91"/>
      <c r="I246" s="91"/>
      <c r="J246" s="97"/>
      <c r="K246" s="79"/>
      <c r="L246" s="79"/>
      <c r="M246" s="79" t="str">
        <f>Table72818224324048566472[[#This Row],[DBA]]&amp;" - "&amp;Table72818224324048566472[[#This Row],[BIN]]&amp;" - "&amp;Table72818224324048566472[[#This Row],[CAID]]</f>
        <v xml:space="preserve"> -  - </v>
      </c>
      <c r="N246" s="90"/>
    </row>
    <row r="247" spans="8:14" x14ac:dyDescent="0.25">
      <c r="H247" s="91"/>
      <c r="I247" s="91"/>
      <c r="J247" s="97"/>
      <c r="K247" s="79"/>
      <c r="L247" s="79"/>
      <c r="M247" s="79" t="str">
        <f>Table72818224324048566472[[#This Row],[DBA]]&amp;" - "&amp;Table72818224324048566472[[#This Row],[BIN]]&amp;" - "&amp;Table72818224324048566472[[#This Row],[CAID]]</f>
        <v xml:space="preserve"> -  - </v>
      </c>
      <c r="N247" s="90"/>
    </row>
    <row r="248" spans="8:14" x14ac:dyDescent="0.25">
      <c r="H248" s="91"/>
      <c r="I248" s="91"/>
      <c r="J248" s="97"/>
      <c r="K248" s="79"/>
      <c r="L248" s="79"/>
      <c r="M248" s="79" t="str">
        <f>Table72818224324048566472[[#This Row],[DBA]]&amp;" - "&amp;Table72818224324048566472[[#This Row],[BIN]]&amp;" - "&amp;Table72818224324048566472[[#This Row],[CAID]]</f>
        <v xml:space="preserve"> -  - </v>
      </c>
      <c r="N248" s="90"/>
    </row>
    <row r="249" spans="8:14" x14ac:dyDescent="0.25">
      <c r="H249" s="91"/>
      <c r="I249" s="91"/>
      <c r="J249" s="97"/>
      <c r="K249" s="79"/>
      <c r="L249" s="79"/>
      <c r="M249" s="79" t="str">
        <f>Table72818224324048566472[[#This Row],[DBA]]&amp;" - "&amp;Table72818224324048566472[[#This Row],[BIN]]&amp;" - "&amp;Table72818224324048566472[[#This Row],[CAID]]</f>
        <v xml:space="preserve"> -  - </v>
      </c>
      <c r="N249" s="90"/>
    </row>
    <row r="250" spans="8:14" x14ac:dyDescent="0.25">
      <c r="H250" s="91"/>
      <c r="I250" s="91"/>
      <c r="J250" s="97"/>
      <c r="K250" s="79"/>
      <c r="L250" s="79"/>
      <c r="M250" s="79" t="str">
        <f>Table72818224324048566472[[#This Row],[DBA]]&amp;" - "&amp;Table72818224324048566472[[#This Row],[BIN]]&amp;" - "&amp;Table72818224324048566472[[#This Row],[CAID]]</f>
        <v xml:space="preserve"> -  - </v>
      </c>
      <c r="N250" s="90"/>
    </row>
    <row r="251" spans="8:14" x14ac:dyDescent="0.25">
      <c r="H251" s="91"/>
      <c r="I251" s="91"/>
      <c r="J251" s="97"/>
      <c r="K251" s="79"/>
      <c r="L251" s="79"/>
      <c r="M251" s="79" t="str">
        <f>Table72818224324048566472[[#This Row],[DBA]]&amp;" - "&amp;Table72818224324048566472[[#This Row],[BIN]]&amp;" - "&amp;Table72818224324048566472[[#This Row],[CAID]]</f>
        <v xml:space="preserve"> -  - </v>
      </c>
      <c r="N251" s="90"/>
    </row>
    <row r="252" spans="8:14" x14ac:dyDescent="0.25">
      <c r="H252" s="91"/>
      <c r="I252" s="91"/>
      <c r="J252" s="97"/>
      <c r="K252" s="79"/>
      <c r="L252" s="79"/>
      <c r="M252" s="79" t="str">
        <f>Table72818224324048566472[[#This Row],[DBA]]&amp;" - "&amp;Table72818224324048566472[[#This Row],[BIN]]&amp;" - "&amp;Table72818224324048566472[[#This Row],[CAID]]</f>
        <v xml:space="preserve"> -  - </v>
      </c>
      <c r="N252" s="90"/>
    </row>
    <row r="253" spans="8:14" x14ac:dyDescent="0.25">
      <c r="H253" s="91"/>
      <c r="I253" s="91"/>
      <c r="J253" s="97"/>
      <c r="K253" s="79"/>
      <c r="L253" s="79"/>
      <c r="M253" s="79" t="str">
        <f>Table72818224324048566472[[#This Row],[DBA]]&amp;" - "&amp;Table72818224324048566472[[#This Row],[BIN]]&amp;" - "&amp;Table72818224324048566472[[#This Row],[CAID]]</f>
        <v xml:space="preserve"> -  - </v>
      </c>
      <c r="N253" s="90"/>
    </row>
    <row r="254" spans="8:14" x14ac:dyDescent="0.25">
      <c r="H254" s="91"/>
      <c r="I254" s="91"/>
      <c r="J254" s="97"/>
      <c r="K254" s="79"/>
      <c r="L254" s="79"/>
      <c r="M254" s="79" t="str">
        <f>Table72818224324048566472[[#This Row],[DBA]]&amp;" - "&amp;Table72818224324048566472[[#This Row],[BIN]]&amp;" - "&amp;Table72818224324048566472[[#This Row],[CAID]]</f>
        <v xml:space="preserve"> -  - </v>
      </c>
      <c r="N254" s="90"/>
    </row>
    <row r="255" spans="8:14" x14ac:dyDescent="0.25">
      <c r="H255" s="91"/>
      <c r="I255" s="91"/>
      <c r="J255" s="97"/>
      <c r="K255" s="79"/>
      <c r="L255" s="79"/>
      <c r="M255" s="79" t="str">
        <f>Table72818224324048566472[[#This Row],[DBA]]&amp;" - "&amp;Table72818224324048566472[[#This Row],[BIN]]&amp;" - "&amp;Table72818224324048566472[[#This Row],[CAID]]</f>
        <v xml:space="preserve"> -  - </v>
      </c>
      <c r="N255" s="90"/>
    </row>
    <row r="256" spans="8:14" x14ac:dyDescent="0.25">
      <c r="H256" s="91"/>
      <c r="I256" s="91"/>
      <c r="J256" s="97"/>
      <c r="K256" s="79"/>
      <c r="L256" s="79"/>
      <c r="M256" s="79" t="str">
        <f>Table72818224324048566472[[#This Row],[DBA]]&amp;" - "&amp;Table72818224324048566472[[#This Row],[BIN]]&amp;" - "&amp;Table72818224324048566472[[#This Row],[CAID]]</f>
        <v xml:space="preserve"> -  - </v>
      </c>
      <c r="N256" s="90"/>
    </row>
    <row r="257" spans="8:14" x14ac:dyDescent="0.25">
      <c r="H257" s="91"/>
      <c r="I257" s="91"/>
      <c r="J257" s="97"/>
      <c r="K257" s="79"/>
      <c r="L257" s="79"/>
      <c r="M257" s="79" t="str">
        <f>Table72818224324048566472[[#This Row],[DBA]]&amp;" - "&amp;Table72818224324048566472[[#This Row],[BIN]]&amp;" - "&amp;Table72818224324048566472[[#This Row],[CAID]]</f>
        <v xml:space="preserve"> -  - </v>
      </c>
      <c r="N257" s="90"/>
    </row>
    <row r="258" spans="8:14" x14ac:dyDescent="0.25">
      <c r="H258" s="91"/>
      <c r="I258" s="91"/>
      <c r="J258" s="97"/>
      <c r="K258" s="79"/>
      <c r="L258" s="79"/>
      <c r="M258" s="79" t="str">
        <f>Table72818224324048566472[[#This Row],[DBA]]&amp;" - "&amp;Table72818224324048566472[[#This Row],[BIN]]&amp;" - "&amp;Table72818224324048566472[[#This Row],[CAID]]</f>
        <v xml:space="preserve"> -  - </v>
      </c>
      <c r="N258" s="90"/>
    </row>
    <row r="259" spans="8:14" x14ac:dyDescent="0.25">
      <c r="H259" s="91"/>
      <c r="I259" s="91"/>
      <c r="J259" s="97"/>
      <c r="K259" s="79"/>
      <c r="L259" s="79"/>
      <c r="M259" s="79" t="str">
        <f>Table72818224324048566472[[#This Row],[DBA]]&amp;" - "&amp;Table72818224324048566472[[#This Row],[BIN]]&amp;" - "&amp;Table72818224324048566472[[#This Row],[CAID]]</f>
        <v xml:space="preserve"> -  - </v>
      </c>
      <c r="N259" s="90"/>
    </row>
    <row r="260" spans="8:14" x14ac:dyDescent="0.25">
      <c r="H260" s="91"/>
      <c r="I260" s="91"/>
      <c r="J260" s="97"/>
      <c r="K260" s="79"/>
      <c r="L260" s="79"/>
      <c r="M260" s="79" t="str">
        <f>Table72818224324048566472[[#This Row],[DBA]]&amp;" - "&amp;Table72818224324048566472[[#This Row],[BIN]]&amp;" - "&amp;Table72818224324048566472[[#This Row],[CAID]]</f>
        <v xml:space="preserve"> -  - </v>
      </c>
      <c r="N260" s="90"/>
    </row>
    <row r="261" spans="8:14" x14ac:dyDescent="0.25">
      <c r="H261" s="91"/>
      <c r="I261" s="91"/>
      <c r="J261" s="97"/>
      <c r="K261" s="79"/>
      <c r="L261" s="79"/>
      <c r="M261" s="79" t="str">
        <f>Table72818224324048566472[[#This Row],[DBA]]&amp;" - "&amp;Table72818224324048566472[[#This Row],[BIN]]&amp;" - "&amp;Table72818224324048566472[[#This Row],[CAID]]</f>
        <v xml:space="preserve"> -  - </v>
      </c>
      <c r="N261" s="90"/>
    </row>
    <row r="262" spans="8:14" x14ac:dyDescent="0.25">
      <c r="H262" s="91"/>
      <c r="I262" s="91"/>
      <c r="J262" s="97"/>
      <c r="K262" s="79"/>
      <c r="L262" s="79"/>
      <c r="M262" s="79" t="str">
        <f>Table72818224324048566472[[#This Row],[DBA]]&amp;" - "&amp;Table72818224324048566472[[#This Row],[BIN]]&amp;" - "&amp;Table72818224324048566472[[#This Row],[CAID]]</f>
        <v xml:space="preserve"> -  - </v>
      </c>
      <c r="N262" s="90"/>
    </row>
    <row r="263" spans="8:14" x14ac:dyDescent="0.25">
      <c r="H263" s="91"/>
      <c r="I263" s="91"/>
      <c r="J263" s="97"/>
      <c r="K263" s="79"/>
      <c r="L263" s="79"/>
      <c r="M263" s="79" t="str">
        <f>Table72818224324048566472[[#This Row],[DBA]]&amp;" - "&amp;Table72818224324048566472[[#This Row],[BIN]]&amp;" - "&amp;Table72818224324048566472[[#This Row],[CAID]]</f>
        <v xml:space="preserve"> -  - </v>
      </c>
      <c r="N263" s="90"/>
    </row>
    <row r="264" spans="8:14" x14ac:dyDescent="0.25">
      <c r="H264" s="91"/>
      <c r="I264" s="91"/>
      <c r="J264" s="97"/>
      <c r="K264" s="79"/>
      <c r="L264" s="79"/>
      <c r="M264" s="79" t="str">
        <f>Table72818224324048566472[[#This Row],[DBA]]&amp;" - "&amp;Table72818224324048566472[[#This Row],[BIN]]&amp;" - "&amp;Table72818224324048566472[[#This Row],[CAID]]</f>
        <v xml:space="preserve"> -  - </v>
      </c>
      <c r="N264" s="90"/>
    </row>
    <row r="265" spans="8:14" x14ac:dyDescent="0.25">
      <c r="H265" s="91"/>
      <c r="I265" s="91"/>
      <c r="J265" s="97"/>
      <c r="K265" s="79"/>
      <c r="L265" s="79"/>
      <c r="M265" s="79" t="str">
        <f>Table72818224324048566472[[#This Row],[DBA]]&amp;" - "&amp;Table72818224324048566472[[#This Row],[BIN]]&amp;" - "&amp;Table72818224324048566472[[#This Row],[CAID]]</f>
        <v xml:space="preserve"> -  - </v>
      </c>
      <c r="N265" s="90"/>
    </row>
    <row r="266" spans="8:14" x14ac:dyDescent="0.25">
      <c r="H266" s="91"/>
      <c r="I266" s="91"/>
      <c r="J266" s="97"/>
      <c r="K266" s="79"/>
      <c r="L266" s="79"/>
      <c r="M266" s="79" t="str">
        <f>Table72818224324048566472[[#This Row],[DBA]]&amp;" - "&amp;Table72818224324048566472[[#This Row],[BIN]]&amp;" - "&amp;Table72818224324048566472[[#This Row],[CAID]]</f>
        <v xml:space="preserve"> -  - </v>
      </c>
      <c r="N266" s="90"/>
    </row>
    <row r="267" spans="8:14" x14ac:dyDescent="0.25">
      <c r="H267" s="91"/>
      <c r="I267" s="91"/>
      <c r="J267" s="97"/>
      <c r="K267" s="79"/>
      <c r="L267" s="79"/>
      <c r="M267" s="79" t="str">
        <f>Table72818224324048566472[[#This Row],[DBA]]&amp;" - "&amp;Table72818224324048566472[[#This Row],[BIN]]&amp;" - "&amp;Table72818224324048566472[[#This Row],[CAID]]</f>
        <v xml:space="preserve"> -  - </v>
      </c>
      <c r="N267" s="90"/>
    </row>
    <row r="268" spans="8:14" x14ac:dyDescent="0.25">
      <c r="H268" s="91"/>
      <c r="I268" s="91"/>
      <c r="J268" s="97"/>
      <c r="K268" s="79"/>
      <c r="L268" s="79"/>
      <c r="M268" s="79" t="str">
        <f>Table72818224324048566472[[#This Row],[DBA]]&amp;" - "&amp;Table72818224324048566472[[#This Row],[BIN]]&amp;" - "&amp;Table72818224324048566472[[#This Row],[CAID]]</f>
        <v xml:space="preserve"> -  - </v>
      </c>
      <c r="N268" s="90"/>
    </row>
    <row r="269" spans="8:14" x14ac:dyDescent="0.25">
      <c r="H269" s="91"/>
      <c r="I269" s="91"/>
      <c r="J269" s="97"/>
      <c r="K269" s="79"/>
      <c r="L269" s="79"/>
      <c r="M269" s="79" t="str">
        <f>Table72818224324048566472[[#This Row],[DBA]]&amp;" - "&amp;Table72818224324048566472[[#This Row],[BIN]]&amp;" - "&amp;Table72818224324048566472[[#This Row],[CAID]]</f>
        <v xml:space="preserve"> -  - </v>
      </c>
      <c r="N269" s="90"/>
    </row>
    <row r="270" spans="8:14" x14ac:dyDescent="0.25">
      <c r="H270" s="91"/>
      <c r="I270" s="91"/>
      <c r="J270" s="97"/>
      <c r="K270" s="79"/>
      <c r="L270" s="79"/>
      <c r="M270" s="79" t="str">
        <f>Table72818224324048566472[[#This Row],[DBA]]&amp;" - "&amp;Table72818224324048566472[[#This Row],[BIN]]&amp;" - "&amp;Table72818224324048566472[[#This Row],[CAID]]</f>
        <v xml:space="preserve"> -  - </v>
      </c>
      <c r="N270" s="90"/>
    </row>
    <row r="271" spans="8:14" x14ac:dyDescent="0.25">
      <c r="H271" s="91"/>
      <c r="I271" s="91"/>
      <c r="J271" s="97"/>
      <c r="K271" s="79"/>
      <c r="L271" s="79"/>
      <c r="M271" s="79" t="str">
        <f>Table72818224324048566472[[#This Row],[DBA]]&amp;" - "&amp;Table72818224324048566472[[#This Row],[BIN]]&amp;" - "&amp;Table72818224324048566472[[#This Row],[CAID]]</f>
        <v xml:space="preserve"> -  - </v>
      </c>
      <c r="N271" s="90"/>
    </row>
    <row r="272" spans="8:14" x14ac:dyDescent="0.25">
      <c r="H272" s="91"/>
      <c r="I272" s="91"/>
      <c r="J272" s="97"/>
      <c r="K272" s="79"/>
      <c r="L272" s="79"/>
      <c r="M272" s="79" t="str">
        <f>Table72818224324048566472[[#This Row],[DBA]]&amp;" - "&amp;Table72818224324048566472[[#This Row],[BIN]]&amp;" - "&amp;Table72818224324048566472[[#This Row],[CAID]]</f>
        <v xml:space="preserve"> -  - </v>
      </c>
      <c r="N272" s="90"/>
    </row>
    <row r="273" spans="8:14" x14ac:dyDescent="0.25">
      <c r="H273" s="91"/>
      <c r="I273" s="91"/>
      <c r="J273" s="97"/>
      <c r="K273" s="79"/>
      <c r="L273" s="79"/>
      <c r="M273" s="79" t="str">
        <f>Table72818224324048566472[[#This Row],[DBA]]&amp;" - "&amp;Table72818224324048566472[[#This Row],[BIN]]&amp;" - "&amp;Table72818224324048566472[[#This Row],[CAID]]</f>
        <v xml:space="preserve"> -  - </v>
      </c>
      <c r="N273" s="90"/>
    </row>
    <row r="274" spans="8:14" x14ac:dyDescent="0.25">
      <c r="H274" s="91"/>
      <c r="I274" s="91"/>
      <c r="J274" s="97"/>
      <c r="K274" s="79"/>
      <c r="L274" s="79"/>
      <c r="M274" s="79" t="str">
        <f>Table72818224324048566472[[#This Row],[DBA]]&amp;" - "&amp;Table72818224324048566472[[#This Row],[BIN]]&amp;" - "&amp;Table72818224324048566472[[#This Row],[CAID]]</f>
        <v xml:space="preserve"> -  - </v>
      </c>
      <c r="N274" s="90"/>
    </row>
    <row r="275" spans="8:14" x14ac:dyDescent="0.25">
      <c r="H275" s="91"/>
      <c r="I275" s="91"/>
      <c r="J275" s="97"/>
      <c r="K275" s="79"/>
      <c r="L275" s="79"/>
      <c r="M275" s="79" t="str">
        <f>Table72818224324048566472[[#This Row],[DBA]]&amp;" - "&amp;Table72818224324048566472[[#This Row],[BIN]]&amp;" - "&amp;Table72818224324048566472[[#This Row],[CAID]]</f>
        <v xml:space="preserve"> -  - </v>
      </c>
      <c r="N275" s="90"/>
    </row>
    <row r="276" spans="8:14" x14ac:dyDescent="0.25">
      <c r="H276" s="91"/>
      <c r="I276" s="91"/>
      <c r="J276" s="97"/>
      <c r="K276" s="79"/>
      <c r="L276" s="79"/>
      <c r="M276" s="79" t="str">
        <f>Table72818224324048566472[[#This Row],[DBA]]&amp;" - "&amp;Table72818224324048566472[[#This Row],[BIN]]&amp;" - "&amp;Table72818224324048566472[[#This Row],[CAID]]</f>
        <v xml:space="preserve"> -  - </v>
      </c>
      <c r="N276" s="90"/>
    </row>
    <row r="277" spans="8:14" x14ac:dyDescent="0.25">
      <c r="H277" s="91"/>
      <c r="I277" s="91"/>
      <c r="J277" s="97"/>
      <c r="K277" s="79"/>
      <c r="L277" s="79"/>
      <c r="M277" s="79" t="str">
        <f>Table72818224324048566472[[#This Row],[DBA]]&amp;" - "&amp;Table72818224324048566472[[#This Row],[BIN]]&amp;" - "&amp;Table72818224324048566472[[#This Row],[CAID]]</f>
        <v xml:space="preserve"> -  - </v>
      </c>
      <c r="N277" s="90"/>
    </row>
    <row r="278" spans="8:14" x14ac:dyDescent="0.25">
      <c r="H278" s="91"/>
      <c r="I278" s="91"/>
      <c r="J278" s="97"/>
      <c r="K278" s="79"/>
      <c r="L278" s="79"/>
      <c r="M278" s="79" t="str">
        <f>Table72818224324048566472[[#This Row],[DBA]]&amp;" - "&amp;Table72818224324048566472[[#This Row],[BIN]]&amp;" - "&amp;Table72818224324048566472[[#This Row],[CAID]]</f>
        <v xml:space="preserve"> -  - </v>
      </c>
      <c r="N278" s="90"/>
    </row>
    <row r="279" spans="8:14" x14ac:dyDescent="0.25">
      <c r="H279" s="91"/>
      <c r="I279" s="91"/>
      <c r="J279" s="97"/>
      <c r="K279" s="79"/>
      <c r="L279" s="79"/>
      <c r="M279" s="79" t="str">
        <f>Table72818224324048566472[[#This Row],[DBA]]&amp;" - "&amp;Table72818224324048566472[[#This Row],[BIN]]&amp;" - "&amp;Table72818224324048566472[[#This Row],[CAID]]</f>
        <v xml:space="preserve"> -  - </v>
      </c>
      <c r="N279" s="90"/>
    </row>
    <row r="280" spans="8:14" x14ac:dyDescent="0.25">
      <c r="H280" s="91"/>
      <c r="I280" s="91"/>
      <c r="J280" s="97"/>
      <c r="K280" s="79"/>
      <c r="L280" s="79"/>
      <c r="M280" s="79" t="str">
        <f>Table72818224324048566472[[#This Row],[DBA]]&amp;" - "&amp;Table72818224324048566472[[#This Row],[BIN]]&amp;" - "&amp;Table72818224324048566472[[#This Row],[CAID]]</f>
        <v xml:space="preserve"> -  - </v>
      </c>
      <c r="N280" s="90"/>
    </row>
    <row r="281" spans="8:14" x14ac:dyDescent="0.25">
      <c r="H281" s="91"/>
      <c r="I281" s="91"/>
      <c r="J281" s="97"/>
      <c r="K281" s="79"/>
      <c r="L281" s="79"/>
      <c r="M281" s="79" t="str">
        <f>Table72818224324048566472[[#This Row],[DBA]]&amp;" - "&amp;Table72818224324048566472[[#This Row],[BIN]]&amp;" - "&amp;Table72818224324048566472[[#This Row],[CAID]]</f>
        <v xml:space="preserve"> -  - </v>
      </c>
      <c r="N281" s="90"/>
    </row>
    <row r="282" spans="8:14" x14ac:dyDescent="0.25">
      <c r="H282" s="91"/>
      <c r="I282" s="91"/>
      <c r="J282" s="97"/>
      <c r="K282" s="79"/>
      <c r="L282" s="79"/>
      <c r="M282" s="79" t="str">
        <f>Table72818224324048566472[[#This Row],[DBA]]&amp;" - "&amp;Table72818224324048566472[[#This Row],[BIN]]&amp;" - "&amp;Table72818224324048566472[[#This Row],[CAID]]</f>
        <v xml:space="preserve"> -  - </v>
      </c>
      <c r="N282" s="90"/>
    </row>
    <row r="283" spans="8:14" x14ac:dyDescent="0.25">
      <c r="H283" s="91"/>
      <c r="I283" s="91"/>
      <c r="J283" s="97"/>
      <c r="K283" s="79"/>
      <c r="L283" s="79"/>
      <c r="M283" s="79" t="str">
        <f>Table72818224324048566472[[#This Row],[DBA]]&amp;" - "&amp;Table72818224324048566472[[#This Row],[BIN]]&amp;" - "&amp;Table72818224324048566472[[#This Row],[CAID]]</f>
        <v xml:space="preserve"> -  - </v>
      </c>
      <c r="N283" s="90"/>
    </row>
    <row r="284" spans="8:14" x14ac:dyDescent="0.25">
      <c r="H284" s="91"/>
      <c r="I284" s="91"/>
      <c r="J284" s="97"/>
      <c r="K284" s="79"/>
      <c r="L284" s="79"/>
      <c r="M284" s="79" t="str">
        <f>Table72818224324048566472[[#This Row],[DBA]]&amp;" - "&amp;Table72818224324048566472[[#This Row],[BIN]]&amp;" - "&amp;Table72818224324048566472[[#This Row],[CAID]]</f>
        <v xml:space="preserve"> -  - </v>
      </c>
      <c r="N284" s="90"/>
    </row>
    <row r="285" spans="8:14" x14ac:dyDescent="0.25">
      <c r="H285" s="91"/>
      <c r="I285" s="91"/>
      <c r="J285" s="97"/>
      <c r="K285" s="79"/>
      <c r="L285" s="79"/>
      <c r="M285" s="79" t="str">
        <f>Table72818224324048566472[[#This Row],[DBA]]&amp;" - "&amp;Table72818224324048566472[[#This Row],[BIN]]&amp;" - "&amp;Table72818224324048566472[[#This Row],[CAID]]</f>
        <v xml:space="preserve"> -  - </v>
      </c>
      <c r="N285" s="90"/>
    </row>
    <row r="286" spans="8:14" x14ac:dyDescent="0.25">
      <c r="H286" s="91"/>
      <c r="I286" s="91"/>
      <c r="J286" s="97"/>
      <c r="K286" s="79"/>
      <c r="L286" s="79"/>
      <c r="M286" s="79" t="str">
        <f>Table72818224324048566472[[#This Row],[DBA]]&amp;" - "&amp;Table72818224324048566472[[#This Row],[BIN]]&amp;" - "&amp;Table72818224324048566472[[#This Row],[CAID]]</f>
        <v xml:space="preserve"> -  - </v>
      </c>
      <c r="N286" s="90"/>
    </row>
    <row r="287" spans="8:14" x14ac:dyDescent="0.25">
      <c r="H287" s="91"/>
      <c r="I287" s="91"/>
      <c r="J287" s="97"/>
      <c r="K287" s="79"/>
      <c r="L287" s="79"/>
      <c r="M287" s="79" t="str">
        <f>Table72818224324048566472[[#This Row],[DBA]]&amp;" - "&amp;Table72818224324048566472[[#This Row],[BIN]]&amp;" - "&amp;Table72818224324048566472[[#This Row],[CAID]]</f>
        <v xml:space="preserve"> -  - </v>
      </c>
      <c r="N287" s="90"/>
    </row>
    <row r="288" spans="8:14" x14ac:dyDescent="0.25">
      <c r="H288" s="91"/>
      <c r="I288" s="91"/>
      <c r="J288" s="97"/>
      <c r="K288" s="79"/>
      <c r="L288" s="79"/>
      <c r="M288" s="79" t="str">
        <f>Table72818224324048566472[[#This Row],[DBA]]&amp;" - "&amp;Table72818224324048566472[[#This Row],[BIN]]&amp;" - "&amp;Table72818224324048566472[[#This Row],[CAID]]</f>
        <v xml:space="preserve"> -  - </v>
      </c>
      <c r="N288" s="90"/>
    </row>
    <row r="289" spans="8:14" x14ac:dyDescent="0.25">
      <c r="H289" s="91"/>
      <c r="I289" s="91"/>
      <c r="J289" s="97"/>
      <c r="K289" s="79"/>
      <c r="L289" s="79"/>
      <c r="M289" s="79" t="str">
        <f>Table72818224324048566472[[#This Row],[DBA]]&amp;" - "&amp;Table72818224324048566472[[#This Row],[BIN]]&amp;" - "&amp;Table72818224324048566472[[#This Row],[CAID]]</f>
        <v xml:space="preserve"> -  - </v>
      </c>
      <c r="N289" s="90"/>
    </row>
    <row r="290" spans="8:14" x14ac:dyDescent="0.25">
      <c r="H290" s="91"/>
      <c r="I290" s="91"/>
      <c r="J290" s="97"/>
      <c r="K290" s="79"/>
      <c r="L290" s="79"/>
      <c r="M290" s="79" t="str">
        <f>Table72818224324048566472[[#This Row],[DBA]]&amp;" - "&amp;Table72818224324048566472[[#This Row],[BIN]]&amp;" - "&amp;Table72818224324048566472[[#This Row],[CAID]]</f>
        <v xml:space="preserve"> -  - </v>
      </c>
      <c r="N290" s="90"/>
    </row>
    <row r="291" spans="8:14" x14ac:dyDescent="0.25">
      <c r="H291" s="91"/>
      <c r="I291" s="91"/>
      <c r="J291" s="97"/>
      <c r="K291" s="79"/>
      <c r="L291" s="79"/>
      <c r="M291" s="79" t="str">
        <f>Table72818224324048566472[[#This Row],[DBA]]&amp;" - "&amp;Table72818224324048566472[[#This Row],[BIN]]&amp;" - "&amp;Table72818224324048566472[[#This Row],[CAID]]</f>
        <v xml:space="preserve"> -  - </v>
      </c>
      <c r="N291" s="90"/>
    </row>
    <row r="292" spans="8:14" x14ac:dyDescent="0.25">
      <c r="H292" s="91"/>
      <c r="I292" s="91"/>
      <c r="J292" s="97"/>
      <c r="K292" s="79"/>
      <c r="L292" s="79"/>
      <c r="M292" s="79" t="str">
        <f>Table72818224324048566472[[#This Row],[DBA]]&amp;" - "&amp;Table72818224324048566472[[#This Row],[BIN]]&amp;" - "&amp;Table72818224324048566472[[#This Row],[CAID]]</f>
        <v xml:space="preserve"> -  - </v>
      </c>
      <c r="N292" s="90"/>
    </row>
    <row r="293" spans="8:14" x14ac:dyDescent="0.25">
      <c r="H293" s="91"/>
      <c r="I293" s="91"/>
      <c r="J293" s="97"/>
      <c r="K293" s="79"/>
      <c r="L293" s="79"/>
      <c r="M293" s="79" t="str">
        <f>Table72818224324048566472[[#This Row],[DBA]]&amp;" - "&amp;Table72818224324048566472[[#This Row],[BIN]]&amp;" - "&amp;Table72818224324048566472[[#This Row],[CAID]]</f>
        <v xml:space="preserve"> -  - </v>
      </c>
      <c r="N293" s="90"/>
    </row>
    <row r="294" spans="8:14" x14ac:dyDescent="0.25">
      <c r="H294" s="91"/>
      <c r="I294" s="91"/>
      <c r="J294" s="97"/>
      <c r="K294" s="79"/>
      <c r="L294" s="79"/>
      <c r="M294" s="79" t="str">
        <f>Table72818224324048566472[[#This Row],[DBA]]&amp;" - "&amp;Table72818224324048566472[[#This Row],[BIN]]&amp;" - "&amp;Table72818224324048566472[[#This Row],[CAID]]</f>
        <v xml:space="preserve"> -  - </v>
      </c>
      <c r="N294" s="90"/>
    </row>
    <row r="295" spans="8:14" x14ac:dyDescent="0.25">
      <c r="H295" s="91"/>
      <c r="I295" s="91"/>
      <c r="J295" s="97"/>
      <c r="K295" s="79"/>
      <c r="L295" s="79"/>
      <c r="M295" s="79" t="str">
        <f>Table72818224324048566472[[#This Row],[DBA]]&amp;" - "&amp;Table72818224324048566472[[#This Row],[BIN]]&amp;" - "&amp;Table72818224324048566472[[#This Row],[CAID]]</f>
        <v xml:space="preserve"> -  - </v>
      </c>
      <c r="N295" s="90"/>
    </row>
    <row r="296" spans="8:14" x14ac:dyDescent="0.25">
      <c r="H296" s="91"/>
      <c r="I296" s="91"/>
      <c r="J296" s="97"/>
      <c r="K296" s="79"/>
      <c r="L296" s="79"/>
      <c r="M296" s="79" t="str">
        <f>Table72818224324048566472[[#This Row],[DBA]]&amp;" - "&amp;Table72818224324048566472[[#This Row],[BIN]]&amp;" - "&amp;Table72818224324048566472[[#This Row],[CAID]]</f>
        <v xml:space="preserve"> -  - </v>
      </c>
      <c r="N296" s="90"/>
    </row>
    <row r="297" spans="8:14" x14ac:dyDescent="0.25">
      <c r="H297" s="91"/>
      <c r="I297" s="91"/>
      <c r="J297" s="97"/>
      <c r="K297" s="79"/>
      <c r="L297" s="79"/>
      <c r="M297" s="79" t="str">
        <f>Table72818224324048566472[[#This Row],[DBA]]&amp;" - "&amp;Table72818224324048566472[[#This Row],[BIN]]&amp;" - "&amp;Table72818224324048566472[[#This Row],[CAID]]</f>
        <v xml:space="preserve"> -  - </v>
      </c>
      <c r="N297" s="90"/>
    </row>
    <row r="298" spans="8:14" x14ac:dyDescent="0.25">
      <c r="H298" s="91"/>
      <c r="I298" s="91"/>
      <c r="J298" s="97"/>
      <c r="K298" s="79"/>
      <c r="L298" s="79"/>
      <c r="M298" s="79" t="str">
        <f>Table72818224324048566472[[#This Row],[DBA]]&amp;" - "&amp;Table72818224324048566472[[#This Row],[BIN]]&amp;" - "&amp;Table72818224324048566472[[#This Row],[CAID]]</f>
        <v xml:space="preserve"> -  - </v>
      </c>
      <c r="N298" s="90"/>
    </row>
    <row r="299" spans="8:14" x14ac:dyDescent="0.25">
      <c r="H299" s="91"/>
      <c r="I299" s="91"/>
      <c r="J299" s="97"/>
      <c r="K299" s="79"/>
      <c r="L299" s="79"/>
      <c r="M299" s="79" t="str">
        <f>Table72818224324048566472[[#This Row],[DBA]]&amp;" - "&amp;Table72818224324048566472[[#This Row],[BIN]]&amp;" - "&amp;Table72818224324048566472[[#This Row],[CAID]]</f>
        <v xml:space="preserve"> -  - </v>
      </c>
      <c r="N299" s="90"/>
    </row>
    <row r="300" spans="8:14" x14ac:dyDescent="0.25">
      <c r="H300" s="91"/>
      <c r="I300" s="91"/>
      <c r="J300" s="97"/>
      <c r="K300" s="79"/>
      <c r="L300" s="79"/>
      <c r="M300" s="79" t="str">
        <f>Table72818224324048566472[[#This Row],[DBA]]&amp;" - "&amp;Table72818224324048566472[[#This Row],[BIN]]&amp;" - "&amp;Table72818224324048566472[[#This Row],[CAID]]</f>
        <v xml:space="preserve"> -  - </v>
      </c>
      <c r="N300" s="90"/>
    </row>
    <row r="301" spans="8:14" x14ac:dyDescent="0.25">
      <c r="H301" s="91"/>
      <c r="I301" s="91"/>
      <c r="J301" s="97"/>
      <c r="K301" s="79"/>
      <c r="L301" s="79"/>
      <c r="M301" s="79" t="str">
        <f>Table72818224324048566472[[#This Row],[DBA]]&amp;" - "&amp;Table72818224324048566472[[#This Row],[BIN]]&amp;" - "&amp;Table72818224324048566472[[#This Row],[CAID]]</f>
        <v xml:space="preserve"> -  - </v>
      </c>
      <c r="N301" s="90"/>
    </row>
    <row r="302" spans="8:14" x14ac:dyDescent="0.25">
      <c r="H302" s="91"/>
      <c r="I302" s="91"/>
      <c r="J302" s="97"/>
      <c r="K302" s="79"/>
      <c r="L302" s="79"/>
      <c r="M302" s="79" t="str">
        <f>Table72818224324048566472[[#This Row],[DBA]]&amp;" - "&amp;Table72818224324048566472[[#This Row],[BIN]]&amp;" - "&amp;Table72818224324048566472[[#This Row],[CAID]]</f>
        <v xml:space="preserve"> -  - </v>
      </c>
      <c r="N302" s="90"/>
    </row>
    <row r="303" spans="8:14" x14ac:dyDescent="0.25">
      <c r="H303" s="91"/>
      <c r="I303" s="91"/>
      <c r="J303" s="97"/>
      <c r="K303" s="79"/>
      <c r="L303" s="79"/>
      <c r="M303" s="79" t="str">
        <f>Table72818224324048566472[[#This Row],[DBA]]&amp;" - "&amp;Table72818224324048566472[[#This Row],[BIN]]&amp;" - "&amp;Table72818224324048566472[[#This Row],[CAID]]</f>
        <v xml:space="preserve"> -  - </v>
      </c>
      <c r="N303" s="90"/>
    </row>
    <row r="304" spans="8:14" x14ac:dyDescent="0.25">
      <c r="H304" s="91"/>
      <c r="I304" s="91"/>
      <c r="J304" s="97"/>
      <c r="K304" s="79"/>
      <c r="L304" s="79"/>
      <c r="M304" s="79" t="str">
        <f>Table72818224324048566472[[#This Row],[DBA]]&amp;" - "&amp;Table72818224324048566472[[#This Row],[BIN]]&amp;" - "&amp;Table72818224324048566472[[#This Row],[CAID]]</f>
        <v xml:space="preserve"> -  - </v>
      </c>
      <c r="N304" s="90"/>
    </row>
    <row r="305" spans="8:14" x14ac:dyDescent="0.25">
      <c r="H305" s="91"/>
      <c r="I305" s="91"/>
      <c r="J305" s="97"/>
      <c r="K305" s="79"/>
      <c r="L305" s="79"/>
      <c r="M305" s="79" t="str">
        <f>Table72818224324048566472[[#This Row],[DBA]]&amp;" - "&amp;Table72818224324048566472[[#This Row],[BIN]]&amp;" - "&amp;Table72818224324048566472[[#This Row],[CAID]]</f>
        <v xml:space="preserve"> -  - </v>
      </c>
      <c r="N305" s="90"/>
    </row>
    <row r="306" spans="8:14" x14ac:dyDescent="0.25">
      <c r="H306" s="92"/>
      <c r="I306" s="92"/>
      <c r="J306" s="97"/>
      <c r="K306" s="89"/>
      <c r="L306" s="89"/>
      <c r="M306" s="89" t="str">
        <f>Table72818224324048566472[[#This Row],[DBA]]&amp;" - "&amp;Table72818224324048566472[[#This Row],[BIN]]&amp;" - "&amp;Table72818224324048566472[[#This Row],[CAID]]</f>
        <v xml:space="preserve"> -  - </v>
      </c>
      <c r="N306" s="90"/>
    </row>
  </sheetData>
  <mergeCells count="5">
    <mergeCell ref="C4:D4"/>
    <mergeCell ref="C6:D6"/>
    <mergeCell ref="H6:O6"/>
    <mergeCell ref="C2:D2"/>
    <mergeCell ref="C3:D3"/>
  </mergeCells>
  <dataValidations count="11">
    <dataValidation allowBlank="1" showInputMessage="1" showErrorMessage="1" promptTitle="Rule Name" prompt="Rule Name is the rule identifier created by the seller and made available in reporting for insight into why an RDR case_x000a_was accepted. _x000a__x000a_Keep rule names short, explicit, and clear enough to be referenced in RDR communications. _x000a__x000a_" sqref="C6:D6" xr:uid="{B6F35498-E83F-4292-BD08-39A70F9D4C90}"/>
    <dataValidation allowBlank="1" showInputMessage="1" showErrorMessage="1" promptTitle="ARN (Acquirer Reference Number)" prompt="ARN (Acquirer Reference Number)" sqref="J9:J306" xr:uid="{6150FA98-7C27-4263-B202-555093F9D4A0}"/>
    <dataValidation allowBlank="1" showInputMessage="1" showErrorMessage="1" promptTitle="Merchant ID" prompt="This cell contains the Merchant ID for the Merchant account.  This will be populated by Verifi" sqref="N9:N306" xr:uid="{B17DF3C4-685C-4EF8-A832-1E0C8F3271C4}"/>
    <dataValidation allowBlank="1" showInputMessage="1" showErrorMessage="1" promptTitle="Merchant Category Code" prompt="This is the Merchant Category Code associated with the BIN/CAID" sqref="K9:K306" xr:uid="{6708C915-EF54-426D-BD16-7604B7051839}"/>
    <dataValidation type="textLength" allowBlank="1" showInputMessage="1" showErrorMessage="1" promptTitle="DBA" prompt="DBA can only be up to 20 characters" sqref="L9:L306" xr:uid="{1386084E-2F2E-49EE-9883-899F4A342756}">
      <formula1>0</formula1>
      <formula2>20</formula2>
    </dataValidation>
    <dataValidation allowBlank="1" showInputMessage="1" showErrorMessage="1" promptTitle="Do not change this cell" prompt="The function attached will create the merchant name.  This is for Verifi Only" sqref="M9:M306" xr:uid="{0077653B-7747-4D70-B482-1F0849FB51D8}"/>
    <dataValidation type="textLength" allowBlank="1" showInputMessage="1" showErrorMessage="1" promptTitle="CAID" prompt="CAID cannot be greater than 15 characters" sqref="I9:I306" xr:uid="{ECDED5FD-5324-4A7A-9A40-4F93A7C234E1}">
      <formula1>0</formula1>
      <formula2>15</formula2>
    </dataValidation>
    <dataValidation type="textLength" allowBlank="1" showInputMessage="1" showErrorMessage="1" promptTitle="BIN" prompt="The BIN has to be 6 characters only" sqref="H9:H306" xr:uid="{16E62904-98C4-4A0A-9031-4F6BEC9CE92C}">
      <formula1>6</formula1>
      <formula2>6</formula2>
    </dataValidation>
    <dataValidation type="list" allowBlank="1" showInputMessage="1" showErrorMessage="1" sqref="B10:B11 B15 B20 B25 B30 B35 B40" xr:uid="{F35B3E40-02BB-41E9-9C65-2BD40D86025E}">
      <formula1>Rule</formula1>
    </dataValidation>
    <dataValidation type="list" allowBlank="1" showInputMessage="1" showErrorMessage="1" sqref="C15 C20 C25 C30 C35 C40 C10:C11" xr:uid="{00152059-1C8E-4947-88C3-86DC4F3B870A}">
      <formula1>INDIRECT(B10)</formula1>
    </dataValidation>
    <dataValidation type="list" allowBlank="1" showInputMessage="1" sqref="D15 D20 D25 D30 D35 D40 D10:D11" xr:uid="{992A4640-4A28-4A50-B455-ECFF1C6A1C7E}">
      <formula1>INDIRECT(SUBSTITUTE(B10&amp;C10," ",""))</formula1>
    </dataValidation>
  </dataValidations>
  <pageMargins left="0.75" right="0.75" top="0.75" bottom="0.75" header="0.5" footer="0.5"/>
  <pageSetup orientation="portrait" r:id="rId1"/>
  <headerFooter alignWithMargins="0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EF661-6D76-4428-8F3F-B3C235E6B048}">
  <dimension ref="B1:O306"/>
  <sheetViews>
    <sheetView showGridLines="0" workbookViewId="0">
      <selection activeCell="C2" sqref="C2:D2"/>
    </sheetView>
  </sheetViews>
  <sheetFormatPr defaultColWidth="8.77734375" defaultRowHeight="13.2" x14ac:dyDescent="0.25"/>
  <cols>
    <col min="1" max="1" width="2.21875" style="3" customWidth="1"/>
    <col min="2" max="2" width="24.77734375" style="3" bestFit="1" customWidth="1"/>
    <col min="3" max="3" width="22.77734375" style="3" customWidth="1"/>
    <col min="4" max="4" width="41.21875" style="3" bestFit="1" customWidth="1"/>
    <col min="5" max="5" width="13.21875" style="3" customWidth="1"/>
    <col min="6" max="6" width="8.77734375" style="3"/>
    <col min="7" max="7" width="14.44140625" style="3" customWidth="1"/>
    <col min="8" max="8" width="10.21875" style="3" customWidth="1"/>
    <col min="9" max="10" width="25.21875" style="3" customWidth="1"/>
    <col min="11" max="11" width="12.44140625" style="3" bestFit="1" customWidth="1"/>
    <col min="12" max="12" width="12.44140625" style="3" customWidth="1"/>
    <col min="13" max="13" width="34" style="3" bestFit="1" customWidth="1"/>
    <col min="14" max="14" width="28" style="3" customWidth="1"/>
    <col min="15" max="15" width="14.21875" style="3" bestFit="1" customWidth="1"/>
    <col min="16" max="16384" width="8.77734375" style="3"/>
  </cols>
  <sheetData>
    <row r="1" spans="2:15" ht="13.8" thickBot="1" x14ac:dyDescent="0.3"/>
    <row r="2" spans="2:15" ht="13.8" thickBot="1" x14ac:dyDescent="0.3">
      <c r="B2" s="100" t="s">
        <v>345</v>
      </c>
      <c r="C2" s="116" t="s">
        <v>347</v>
      </c>
      <c r="D2" s="117"/>
      <c r="I2" s="95"/>
      <c r="J2" s="95"/>
    </row>
    <row r="3" spans="2:15" ht="13.8" thickBot="1" x14ac:dyDescent="0.3">
      <c r="B3" s="101" t="s">
        <v>344</v>
      </c>
      <c r="C3" s="116">
        <v>11600</v>
      </c>
      <c r="D3" s="117"/>
      <c r="I3" s="95"/>
      <c r="J3" s="95"/>
    </row>
    <row r="4" spans="2:15" ht="13.8" thickBot="1" x14ac:dyDescent="0.3">
      <c r="B4" s="100" t="s">
        <v>332</v>
      </c>
      <c r="C4" s="112"/>
      <c r="D4" s="112"/>
      <c r="I4" s="95"/>
      <c r="J4" s="95"/>
    </row>
    <row r="5" spans="2:15" ht="13.8" thickBot="1" x14ac:dyDescent="0.3">
      <c r="B5" s="101" t="s">
        <v>343</v>
      </c>
      <c r="C5" s="102"/>
      <c r="D5" s="103"/>
      <c r="I5" s="95"/>
      <c r="J5" s="95"/>
    </row>
    <row r="6" spans="2:15" ht="13.8" thickBot="1" x14ac:dyDescent="0.3">
      <c r="B6" s="100" t="s">
        <v>334</v>
      </c>
      <c r="C6" s="112"/>
      <c r="D6" s="112"/>
      <c r="H6" s="113" t="s">
        <v>330</v>
      </c>
      <c r="I6" s="114"/>
      <c r="J6" s="114"/>
      <c r="K6" s="114"/>
      <c r="L6" s="114"/>
      <c r="M6" s="114"/>
      <c r="N6" s="114"/>
      <c r="O6" s="115"/>
    </row>
    <row r="7" spans="2:15" x14ac:dyDescent="0.25">
      <c r="B7" s="87"/>
      <c r="C7" s="87"/>
    </row>
    <row r="8" spans="2:15" ht="13.8" thickBot="1" x14ac:dyDescent="0.3">
      <c r="C8" s="13"/>
      <c r="H8" s="13" t="s">
        <v>84</v>
      </c>
      <c r="I8" s="13" t="s">
        <v>85</v>
      </c>
      <c r="J8" s="88" t="s">
        <v>342</v>
      </c>
      <c r="K8" s="88" t="s">
        <v>339</v>
      </c>
      <c r="L8" s="88" t="s">
        <v>333</v>
      </c>
      <c r="M8" s="93" t="s">
        <v>340</v>
      </c>
      <c r="N8" s="94" t="s">
        <v>341</v>
      </c>
    </row>
    <row r="9" spans="2:15" ht="18.75" customHeight="1" thickBot="1" x14ac:dyDescent="0.3">
      <c r="B9" s="80" t="s">
        <v>329</v>
      </c>
      <c r="C9" s="81" t="s">
        <v>64</v>
      </c>
      <c r="D9" s="82" t="s">
        <v>63</v>
      </c>
      <c r="H9" s="96"/>
      <c r="I9" s="96"/>
      <c r="J9" s="98"/>
      <c r="K9" s="99"/>
      <c r="L9" s="99"/>
      <c r="M9" s="90" t="str">
        <f>Table7281822432404856647280[[#This Row],[DBA]]&amp;" - "&amp;Table7281822432404856647280[[#This Row],[BIN]]&amp;" - "&amp;Table7281822432404856647280[[#This Row],[CAID]]</f>
        <v xml:space="preserve"> -  - </v>
      </c>
      <c r="N9" s="90"/>
    </row>
    <row r="10" spans="2:15" ht="13.8" thickBot="1" x14ac:dyDescent="0.3">
      <c r="B10" s="83"/>
      <c r="C10" s="84"/>
      <c r="D10" s="83"/>
      <c r="H10" s="91"/>
      <c r="I10" s="91"/>
      <c r="J10" s="97"/>
      <c r="K10" s="79"/>
      <c r="L10" s="79"/>
      <c r="M10" s="79" t="str">
        <f>Table7281822432404856647280[[#This Row],[DBA]]&amp;" - "&amp;Table7281822432404856647280[[#This Row],[BIN]]&amp;" - "&amp;Table7281822432404856647280[[#This Row],[CAID]]</f>
        <v xml:space="preserve"> -  - </v>
      </c>
      <c r="N10" s="90"/>
    </row>
    <row r="11" spans="2:15" x14ac:dyDescent="0.25">
      <c r="B11" s="85"/>
      <c r="C11" s="86"/>
      <c r="D11" s="85"/>
      <c r="H11" s="91"/>
      <c r="I11" s="91"/>
      <c r="J11" s="97"/>
      <c r="K11" s="79"/>
      <c r="L11" s="79"/>
      <c r="M11" s="79" t="str">
        <f>Table7281822432404856647280[[#This Row],[DBA]]&amp;" - "&amp;Table7281822432404856647280[[#This Row],[BIN]]&amp;" - "&amp;Table7281822432404856647280[[#This Row],[CAID]]</f>
        <v xml:space="preserve"> -  - </v>
      </c>
      <c r="N11" s="90"/>
    </row>
    <row r="12" spans="2:15" x14ac:dyDescent="0.25">
      <c r="C12" s="30" t="s">
        <v>83</v>
      </c>
      <c r="H12" s="91"/>
      <c r="I12" s="91"/>
      <c r="J12" s="97"/>
      <c r="K12" s="79"/>
      <c r="L12" s="79"/>
      <c r="M12" s="79" t="str">
        <f>Table7281822432404856647280[[#This Row],[DBA]]&amp;" - "&amp;Table7281822432404856647280[[#This Row],[BIN]]&amp;" - "&amp;Table7281822432404856647280[[#This Row],[CAID]]</f>
        <v xml:space="preserve"> -  - </v>
      </c>
      <c r="N12" s="90"/>
    </row>
    <row r="13" spans="2:15" ht="13.8" thickBot="1" x14ac:dyDescent="0.3">
      <c r="C13" s="29"/>
      <c r="H13" s="91"/>
      <c r="I13" s="91"/>
      <c r="J13" s="97"/>
      <c r="K13" s="79"/>
      <c r="L13" s="79"/>
      <c r="M13" s="79" t="str">
        <f>Table7281822432404856647280[[#This Row],[DBA]]&amp;" - "&amp;Table7281822432404856647280[[#This Row],[BIN]]&amp;" - "&amp;Table7281822432404856647280[[#This Row],[CAID]]</f>
        <v xml:space="preserve"> -  - </v>
      </c>
      <c r="N13" s="90"/>
    </row>
    <row r="14" spans="2:15" ht="13.8" thickBot="1" x14ac:dyDescent="0.3">
      <c r="B14" s="80" t="s">
        <v>329</v>
      </c>
      <c r="C14" s="81" t="s">
        <v>64</v>
      </c>
      <c r="D14" s="82" t="s">
        <v>63</v>
      </c>
      <c r="H14" s="91"/>
      <c r="I14" s="91"/>
      <c r="J14" s="97"/>
      <c r="K14" s="79"/>
      <c r="L14" s="79"/>
      <c r="M14" s="79" t="str">
        <f>Table7281822432404856647280[[#This Row],[DBA]]&amp;" - "&amp;Table7281822432404856647280[[#This Row],[BIN]]&amp;" - "&amp;Table7281822432404856647280[[#This Row],[CAID]]</f>
        <v xml:space="preserve"> -  - </v>
      </c>
      <c r="N14" s="90"/>
    </row>
    <row r="15" spans="2:15" ht="13.8" thickBot="1" x14ac:dyDescent="0.3">
      <c r="B15" s="83"/>
      <c r="C15" s="84"/>
      <c r="D15" s="83"/>
      <c r="H15" s="91"/>
      <c r="I15" s="91"/>
      <c r="J15" s="97"/>
      <c r="K15" s="79"/>
      <c r="L15" s="79"/>
      <c r="M15" s="79" t="str">
        <f>Table7281822432404856647280[[#This Row],[DBA]]&amp;" - "&amp;Table7281822432404856647280[[#This Row],[BIN]]&amp;" - "&amp;Table7281822432404856647280[[#This Row],[CAID]]</f>
        <v xml:space="preserve"> -  - </v>
      </c>
      <c r="N15" s="90"/>
    </row>
    <row r="16" spans="2:15" x14ac:dyDescent="0.25">
      <c r="H16" s="91"/>
      <c r="I16" s="91"/>
      <c r="J16" s="97"/>
      <c r="K16" s="79"/>
      <c r="L16" s="79"/>
      <c r="M16" s="79" t="str">
        <f>Table7281822432404856647280[[#This Row],[DBA]]&amp;" - "&amp;Table7281822432404856647280[[#This Row],[BIN]]&amp;" - "&amp;Table7281822432404856647280[[#This Row],[CAID]]</f>
        <v xml:space="preserve"> -  - </v>
      </c>
      <c r="N16" s="90"/>
    </row>
    <row r="17" spans="2:14" x14ac:dyDescent="0.25">
      <c r="C17" s="30" t="s">
        <v>83</v>
      </c>
      <c r="H17" s="91"/>
      <c r="I17" s="91"/>
      <c r="J17" s="97"/>
      <c r="K17" s="79"/>
      <c r="L17" s="79"/>
      <c r="M17" s="79" t="str">
        <f>Table7281822432404856647280[[#This Row],[DBA]]&amp;" - "&amp;Table7281822432404856647280[[#This Row],[BIN]]&amp;" - "&amp;Table7281822432404856647280[[#This Row],[CAID]]</f>
        <v xml:space="preserve"> -  - </v>
      </c>
      <c r="N17" s="90"/>
    </row>
    <row r="18" spans="2:14" ht="13.8" thickBot="1" x14ac:dyDescent="0.3">
      <c r="C18" s="29"/>
      <c r="H18" s="91"/>
      <c r="I18" s="91"/>
      <c r="J18" s="97"/>
      <c r="K18" s="79"/>
      <c r="L18" s="79"/>
      <c r="M18" s="79" t="str">
        <f>Table7281822432404856647280[[#This Row],[DBA]]&amp;" - "&amp;Table7281822432404856647280[[#This Row],[BIN]]&amp;" - "&amp;Table7281822432404856647280[[#This Row],[CAID]]</f>
        <v xml:space="preserve"> -  - </v>
      </c>
      <c r="N18" s="90"/>
    </row>
    <row r="19" spans="2:14" ht="13.8" thickBot="1" x14ac:dyDescent="0.3">
      <c r="B19" s="80" t="s">
        <v>329</v>
      </c>
      <c r="C19" s="81" t="s">
        <v>64</v>
      </c>
      <c r="D19" s="82" t="s">
        <v>63</v>
      </c>
      <c r="H19" s="91"/>
      <c r="I19" s="91"/>
      <c r="J19" s="97"/>
      <c r="K19" s="79"/>
      <c r="L19" s="79"/>
      <c r="M19" s="79" t="str">
        <f>Table7281822432404856647280[[#This Row],[DBA]]&amp;" - "&amp;Table7281822432404856647280[[#This Row],[BIN]]&amp;" - "&amp;Table7281822432404856647280[[#This Row],[CAID]]</f>
        <v xml:space="preserve"> -  - </v>
      </c>
      <c r="N19" s="90"/>
    </row>
    <row r="20" spans="2:14" ht="13.8" thickBot="1" x14ac:dyDescent="0.3">
      <c r="B20" s="83"/>
      <c r="C20" s="84"/>
      <c r="D20" s="83"/>
      <c r="H20" s="91"/>
      <c r="I20" s="91"/>
      <c r="J20" s="97"/>
      <c r="K20" s="79"/>
      <c r="L20" s="79"/>
      <c r="M20" s="79" t="str">
        <f>Table7281822432404856647280[[#This Row],[DBA]]&amp;" - "&amp;Table7281822432404856647280[[#This Row],[BIN]]&amp;" - "&amp;Table7281822432404856647280[[#This Row],[CAID]]</f>
        <v xml:space="preserve"> -  - </v>
      </c>
      <c r="N20" s="90"/>
    </row>
    <row r="21" spans="2:14" x14ac:dyDescent="0.25">
      <c r="H21" s="91"/>
      <c r="I21" s="91"/>
      <c r="J21" s="97"/>
      <c r="K21" s="79"/>
      <c r="L21" s="79"/>
      <c r="M21" s="79" t="str">
        <f>Table7281822432404856647280[[#This Row],[DBA]]&amp;" - "&amp;Table7281822432404856647280[[#This Row],[BIN]]&amp;" - "&amp;Table7281822432404856647280[[#This Row],[CAID]]</f>
        <v xml:space="preserve"> -  - </v>
      </c>
      <c r="N21" s="90"/>
    </row>
    <row r="22" spans="2:14" x14ac:dyDescent="0.25">
      <c r="C22" s="30" t="s">
        <v>83</v>
      </c>
      <c r="H22" s="91"/>
      <c r="I22" s="91"/>
      <c r="J22" s="97"/>
      <c r="K22" s="79"/>
      <c r="L22" s="79"/>
      <c r="M22" s="79" t="str">
        <f>Table7281822432404856647280[[#This Row],[DBA]]&amp;" - "&amp;Table7281822432404856647280[[#This Row],[BIN]]&amp;" - "&amp;Table7281822432404856647280[[#This Row],[CAID]]</f>
        <v xml:space="preserve"> -  - </v>
      </c>
      <c r="N22" s="90"/>
    </row>
    <row r="23" spans="2:14" ht="13.8" thickBot="1" x14ac:dyDescent="0.3">
      <c r="C23" s="29"/>
      <c r="H23" s="91"/>
      <c r="I23" s="91"/>
      <c r="J23" s="97"/>
      <c r="K23" s="79"/>
      <c r="L23" s="79"/>
      <c r="M23" s="79" t="str">
        <f>Table7281822432404856647280[[#This Row],[DBA]]&amp;" - "&amp;Table7281822432404856647280[[#This Row],[BIN]]&amp;" - "&amp;Table7281822432404856647280[[#This Row],[CAID]]</f>
        <v xml:space="preserve"> -  - </v>
      </c>
      <c r="N23" s="90"/>
    </row>
    <row r="24" spans="2:14" ht="13.8" thickBot="1" x14ac:dyDescent="0.3">
      <c r="B24" s="80" t="s">
        <v>329</v>
      </c>
      <c r="C24" s="81" t="s">
        <v>64</v>
      </c>
      <c r="D24" s="82" t="s">
        <v>63</v>
      </c>
      <c r="H24" s="91"/>
      <c r="I24" s="91"/>
      <c r="J24" s="97"/>
      <c r="K24" s="79"/>
      <c r="L24" s="79"/>
      <c r="M24" s="79" t="str">
        <f>Table7281822432404856647280[[#This Row],[DBA]]&amp;" - "&amp;Table7281822432404856647280[[#This Row],[BIN]]&amp;" - "&amp;Table7281822432404856647280[[#This Row],[CAID]]</f>
        <v xml:space="preserve"> -  - </v>
      </c>
      <c r="N24" s="90"/>
    </row>
    <row r="25" spans="2:14" ht="13.8" thickBot="1" x14ac:dyDescent="0.3">
      <c r="B25" s="83"/>
      <c r="C25" s="84"/>
      <c r="D25" s="83"/>
      <c r="H25" s="91"/>
      <c r="I25" s="91"/>
      <c r="J25" s="97"/>
      <c r="K25" s="79"/>
      <c r="L25" s="79"/>
      <c r="M25" s="79" t="str">
        <f>Table7281822432404856647280[[#This Row],[DBA]]&amp;" - "&amp;Table7281822432404856647280[[#This Row],[BIN]]&amp;" - "&amp;Table7281822432404856647280[[#This Row],[CAID]]</f>
        <v xml:space="preserve"> -  - </v>
      </c>
      <c r="N25" s="90"/>
    </row>
    <row r="26" spans="2:14" x14ac:dyDescent="0.25">
      <c r="H26" s="91"/>
      <c r="I26" s="91"/>
      <c r="J26" s="97"/>
      <c r="K26" s="79"/>
      <c r="L26" s="79"/>
      <c r="M26" s="79" t="str">
        <f>Table7281822432404856647280[[#This Row],[DBA]]&amp;" - "&amp;Table7281822432404856647280[[#This Row],[BIN]]&amp;" - "&amp;Table7281822432404856647280[[#This Row],[CAID]]</f>
        <v xml:space="preserve"> -  - </v>
      </c>
      <c r="N26" s="90"/>
    </row>
    <row r="27" spans="2:14" x14ac:dyDescent="0.25">
      <c r="C27" s="30" t="s">
        <v>83</v>
      </c>
      <c r="H27" s="91"/>
      <c r="I27" s="91"/>
      <c r="J27" s="97"/>
      <c r="K27" s="79"/>
      <c r="L27" s="79"/>
      <c r="M27" s="79" t="str">
        <f>Table7281822432404856647280[[#This Row],[DBA]]&amp;" - "&amp;Table7281822432404856647280[[#This Row],[BIN]]&amp;" - "&amp;Table7281822432404856647280[[#This Row],[CAID]]</f>
        <v xml:space="preserve"> -  - </v>
      </c>
      <c r="N27" s="90"/>
    </row>
    <row r="28" spans="2:14" ht="13.8" thickBot="1" x14ac:dyDescent="0.3">
      <c r="C28" s="29"/>
      <c r="H28" s="91"/>
      <c r="I28" s="91"/>
      <c r="J28" s="97"/>
      <c r="K28" s="79"/>
      <c r="L28" s="79"/>
      <c r="M28" s="79" t="str">
        <f>Table7281822432404856647280[[#This Row],[DBA]]&amp;" - "&amp;Table7281822432404856647280[[#This Row],[BIN]]&amp;" - "&amp;Table7281822432404856647280[[#This Row],[CAID]]</f>
        <v xml:space="preserve"> -  - </v>
      </c>
      <c r="N28" s="90"/>
    </row>
    <row r="29" spans="2:14" ht="13.8" thickBot="1" x14ac:dyDescent="0.3">
      <c r="B29" s="80" t="s">
        <v>329</v>
      </c>
      <c r="C29" s="81" t="s">
        <v>64</v>
      </c>
      <c r="D29" s="82" t="s">
        <v>63</v>
      </c>
      <c r="H29" s="91"/>
      <c r="I29" s="91"/>
      <c r="J29" s="97"/>
      <c r="K29" s="79"/>
      <c r="L29" s="79"/>
      <c r="M29" s="79" t="str">
        <f>Table7281822432404856647280[[#This Row],[DBA]]&amp;" - "&amp;Table7281822432404856647280[[#This Row],[BIN]]&amp;" - "&amp;Table7281822432404856647280[[#This Row],[CAID]]</f>
        <v xml:space="preserve"> -  - </v>
      </c>
      <c r="N29" s="90"/>
    </row>
    <row r="30" spans="2:14" ht="13.8" thickBot="1" x14ac:dyDescent="0.3">
      <c r="B30" s="83"/>
      <c r="C30" s="84"/>
      <c r="D30" s="83"/>
      <c r="H30" s="91"/>
      <c r="I30" s="91"/>
      <c r="J30" s="97"/>
      <c r="K30" s="79"/>
      <c r="L30" s="79"/>
      <c r="M30" s="79" t="str">
        <f>Table7281822432404856647280[[#This Row],[DBA]]&amp;" - "&amp;Table7281822432404856647280[[#This Row],[BIN]]&amp;" - "&amp;Table7281822432404856647280[[#This Row],[CAID]]</f>
        <v xml:space="preserve"> -  - </v>
      </c>
      <c r="N30" s="90"/>
    </row>
    <row r="31" spans="2:14" x14ac:dyDescent="0.25">
      <c r="H31" s="91"/>
      <c r="I31" s="91"/>
      <c r="J31" s="97"/>
      <c r="K31" s="79"/>
      <c r="L31" s="79"/>
      <c r="M31" s="79" t="str">
        <f>Table7281822432404856647280[[#This Row],[DBA]]&amp;" - "&amp;Table7281822432404856647280[[#This Row],[BIN]]&amp;" - "&amp;Table7281822432404856647280[[#This Row],[CAID]]</f>
        <v xml:space="preserve"> -  - </v>
      </c>
      <c r="N31" s="90"/>
    </row>
    <row r="32" spans="2:14" x14ac:dyDescent="0.25">
      <c r="C32" s="30" t="s">
        <v>83</v>
      </c>
      <c r="H32" s="91"/>
      <c r="I32" s="91"/>
      <c r="J32" s="97"/>
      <c r="K32" s="79"/>
      <c r="L32" s="79"/>
      <c r="M32" s="79" t="str">
        <f>Table7281822432404856647280[[#This Row],[DBA]]&amp;" - "&amp;Table7281822432404856647280[[#This Row],[BIN]]&amp;" - "&amp;Table7281822432404856647280[[#This Row],[CAID]]</f>
        <v xml:space="preserve"> -  - </v>
      </c>
      <c r="N32" s="90"/>
    </row>
    <row r="33" spans="2:14" ht="13.8" thickBot="1" x14ac:dyDescent="0.3">
      <c r="C33" s="29"/>
      <c r="H33" s="91"/>
      <c r="I33" s="91"/>
      <c r="J33" s="97"/>
      <c r="K33" s="79"/>
      <c r="L33" s="79"/>
      <c r="M33" s="79" t="str">
        <f>Table7281822432404856647280[[#This Row],[DBA]]&amp;" - "&amp;Table7281822432404856647280[[#This Row],[BIN]]&amp;" - "&amp;Table7281822432404856647280[[#This Row],[CAID]]</f>
        <v xml:space="preserve"> -  - </v>
      </c>
      <c r="N33" s="90"/>
    </row>
    <row r="34" spans="2:14" ht="13.8" thickBot="1" x14ac:dyDescent="0.3">
      <c r="B34" s="80" t="s">
        <v>329</v>
      </c>
      <c r="C34" s="81" t="s">
        <v>64</v>
      </c>
      <c r="D34" s="82" t="s">
        <v>63</v>
      </c>
      <c r="H34" s="91"/>
      <c r="I34" s="91"/>
      <c r="J34" s="97"/>
      <c r="K34" s="79"/>
      <c r="L34" s="79"/>
      <c r="M34" s="79" t="str">
        <f>Table7281822432404856647280[[#This Row],[DBA]]&amp;" - "&amp;Table7281822432404856647280[[#This Row],[BIN]]&amp;" - "&amp;Table7281822432404856647280[[#This Row],[CAID]]</f>
        <v xml:space="preserve"> -  - </v>
      </c>
      <c r="N34" s="90"/>
    </row>
    <row r="35" spans="2:14" ht="13.8" thickBot="1" x14ac:dyDescent="0.3">
      <c r="B35" s="83"/>
      <c r="C35" s="84"/>
      <c r="D35" s="83"/>
      <c r="H35" s="91"/>
      <c r="I35" s="91"/>
      <c r="J35" s="97"/>
      <c r="K35" s="79"/>
      <c r="L35" s="79"/>
      <c r="M35" s="79" t="str">
        <f>Table7281822432404856647280[[#This Row],[DBA]]&amp;" - "&amp;Table7281822432404856647280[[#This Row],[BIN]]&amp;" - "&amp;Table7281822432404856647280[[#This Row],[CAID]]</f>
        <v xml:space="preserve"> -  - </v>
      </c>
      <c r="N35" s="90"/>
    </row>
    <row r="36" spans="2:14" x14ac:dyDescent="0.25">
      <c r="H36" s="91"/>
      <c r="I36" s="91"/>
      <c r="J36" s="97"/>
      <c r="K36" s="79"/>
      <c r="L36" s="79"/>
      <c r="M36" s="79" t="str">
        <f>Table7281822432404856647280[[#This Row],[DBA]]&amp;" - "&amp;Table7281822432404856647280[[#This Row],[BIN]]&amp;" - "&amp;Table7281822432404856647280[[#This Row],[CAID]]</f>
        <v xml:space="preserve"> -  - </v>
      </c>
      <c r="N36" s="90"/>
    </row>
    <row r="37" spans="2:14" x14ac:dyDescent="0.25">
      <c r="C37" s="30" t="s">
        <v>83</v>
      </c>
      <c r="H37" s="91"/>
      <c r="I37" s="91"/>
      <c r="J37" s="97"/>
      <c r="K37" s="79"/>
      <c r="L37" s="79"/>
      <c r="M37" s="79" t="str">
        <f>Table7281822432404856647280[[#This Row],[DBA]]&amp;" - "&amp;Table7281822432404856647280[[#This Row],[BIN]]&amp;" - "&amp;Table7281822432404856647280[[#This Row],[CAID]]</f>
        <v xml:space="preserve"> -  - </v>
      </c>
      <c r="N37" s="90"/>
    </row>
    <row r="38" spans="2:14" ht="13.8" thickBot="1" x14ac:dyDescent="0.3">
      <c r="C38" s="29"/>
      <c r="H38" s="91"/>
      <c r="I38" s="91"/>
      <c r="J38" s="97"/>
      <c r="K38" s="79"/>
      <c r="L38" s="79"/>
      <c r="M38" s="79" t="str">
        <f>Table7281822432404856647280[[#This Row],[DBA]]&amp;" - "&amp;Table7281822432404856647280[[#This Row],[BIN]]&amp;" - "&amp;Table7281822432404856647280[[#This Row],[CAID]]</f>
        <v xml:space="preserve"> -  - </v>
      </c>
      <c r="N38" s="90"/>
    </row>
    <row r="39" spans="2:14" ht="13.8" thickBot="1" x14ac:dyDescent="0.3">
      <c r="B39" s="80" t="s">
        <v>329</v>
      </c>
      <c r="C39" s="81" t="s">
        <v>64</v>
      </c>
      <c r="D39" s="82" t="s">
        <v>63</v>
      </c>
      <c r="H39" s="91"/>
      <c r="I39" s="91"/>
      <c r="J39" s="97"/>
      <c r="K39" s="79"/>
      <c r="L39" s="79"/>
      <c r="M39" s="79" t="str">
        <f>Table7281822432404856647280[[#This Row],[DBA]]&amp;" - "&amp;Table7281822432404856647280[[#This Row],[BIN]]&amp;" - "&amp;Table7281822432404856647280[[#This Row],[CAID]]</f>
        <v xml:space="preserve"> -  - </v>
      </c>
      <c r="N39" s="90"/>
    </row>
    <row r="40" spans="2:14" ht="13.8" thickBot="1" x14ac:dyDescent="0.3">
      <c r="B40" s="83"/>
      <c r="C40" s="84"/>
      <c r="D40" s="83"/>
      <c r="H40" s="91"/>
      <c r="I40" s="91"/>
      <c r="J40" s="97"/>
      <c r="K40" s="89"/>
      <c r="L40" s="89"/>
      <c r="M40" s="79" t="str">
        <f>Table7281822432404856647280[[#This Row],[DBA]]&amp;" - "&amp;Table7281822432404856647280[[#This Row],[BIN]]&amp;" - "&amp;Table7281822432404856647280[[#This Row],[CAID]]</f>
        <v xml:space="preserve"> -  - </v>
      </c>
      <c r="N40" s="90"/>
    </row>
    <row r="41" spans="2:14" x14ac:dyDescent="0.25">
      <c r="H41" s="91"/>
      <c r="I41" s="91"/>
      <c r="J41" s="97"/>
      <c r="K41" s="79"/>
      <c r="L41" s="79"/>
      <c r="M41" s="79" t="str">
        <f>Table7281822432404856647280[[#This Row],[DBA]]&amp;" - "&amp;Table7281822432404856647280[[#This Row],[BIN]]&amp;" - "&amp;Table7281822432404856647280[[#This Row],[CAID]]</f>
        <v xml:space="preserve"> -  - </v>
      </c>
      <c r="N41" s="90"/>
    </row>
    <row r="42" spans="2:14" x14ac:dyDescent="0.25">
      <c r="H42" s="91"/>
      <c r="I42" s="91"/>
      <c r="J42" s="97"/>
      <c r="K42" s="79"/>
      <c r="L42" s="79"/>
      <c r="M42" s="79" t="str">
        <f>Table7281822432404856647280[[#This Row],[DBA]]&amp;" - "&amp;Table7281822432404856647280[[#This Row],[BIN]]&amp;" - "&amp;Table7281822432404856647280[[#This Row],[CAID]]</f>
        <v xml:space="preserve"> -  - </v>
      </c>
      <c r="N42" s="90"/>
    </row>
    <row r="43" spans="2:14" x14ac:dyDescent="0.25">
      <c r="H43" s="91"/>
      <c r="I43" s="91"/>
      <c r="J43" s="97"/>
      <c r="K43" s="79"/>
      <c r="L43" s="79"/>
      <c r="M43" s="79" t="str">
        <f>Table7281822432404856647280[[#This Row],[DBA]]&amp;" - "&amp;Table7281822432404856647280[[#This Row],[BIN]]&amp;" - "&amp;Table7281822432404856647280[[#This Row],[CAID]]</f>
        <v xml:space="preserve"> -  - </v>
      </c>
      <c r="N43" s="90"/>
    </row>
    <row r="44" spans="2:14" x14ac:dyDescent="0.25">
      <c r="H44" s="91"/>
      <c r="I44" s="91"/>
      <c r="J44" s="97"/>
      <c r="K44" s="79"/>
      <c r="L44" s="79"/>
      <c r="M44" s="79" t="str">
        <f>Table7281822432404856647280[[#This Row],[DBA]]&amp;" - "&amp;Table7281822432404856647280[[#This Row],[BIN]]&amp;" - "&amp;Table7281822432404856647280[[#This Row],[CAID]]</f>
        <v xml:space="preserve"> -  - </v>
      </c>
      <c r="N44" s="90"/>
    </row>
    <row r="45" spans="2:14" x14ac:dyDescent="0.25">
      <c r="H45" s="91"/>
      <c r="I45" s="91"/>
      <c r="J45" s="97"/>
      <c r="K45" s="79"/>
      <c r="L45" s="79"/>
      <c r="M45" s="79" t="str">
        <f>Table7281822432404856647280[[#This Row],[DBA]]&amp;" - "&amp;Table7281822432404856647280[[#This Row],[BIN]]&amp;" - "&amp;Table7281822432404856647280[[#This Row],[CAID]]</f>
        <v xml:space="preserve"> -  - </v>
      </c>
      <c r="N45" s="90"/>
    </row>
    <row r="46" spans="2:14" x14ac:dyDescent="0.25">
      <c r="H46" s="91"/>
      <c r="I46" s="91"/>
      <c r="J46" s="97"/>
      <c r="K46" s="79"/>
      <c r="L46" s="79"/>
      <c r="M46" s="79" t="str">
        <f>Table7281822432404856647280[[#This Row],[DBA]]&amp;" - "&amp;Table7281822432404856647280[[#This Row],[BIN]]&amp;" - "&amp;Table7281822432404856647280[[#This Row],[CAID]]</f>
        <v xml:space="preserve"> -  - </v>
      </c>
      <c r="N46" s="90"/>
    </row>
    <row r="47" spans="2:14" x14ac:dyDescent="0.25">
      <c r="H47" s="91"/>
      <c r="I47" s="91"/>
      <c r="J47" s="97"/>
      <c r="K47" s="79"/>
      <c r="L47" s="79"/>
      <c r="M47" s="79" t="str">
        <f>Table7281822432404856647280[[#This Row],[DBA]]&amp;" - "&amp;Table7281822432404856647280[[#This Row],[BIN]]&amp;" - "&amp;Table7281822432404856647280[[#This Row],[CAID]]</f>
        <v xml:space="preserve"> -  - </v>
      </c>
      <c r="N47" s="90"/>
    </row>
    <row r="48" spans="2:14" x14ac:dyDescent="0.25">
      <c r="H48" s="91"/>
      <c r="I48" s="91"/>
      <c r="J48" s="97"/>
      <c r="K48" s="79"/>
      <c r="L48" s="79"/>
      <c r="M48" s="79" t="str">
        <f>Table7281822432404856647280[[#This Row],[DBA]]&amp;" - "&amp;Table7281822432404856647280[[#This Row],[BIN]]&amp;" - "&amp;Table7281822432404856647280[[#This Row],[CAID]]</f>
        <v xml:space="preserve"> -  - </v>
      </c>
      <c r="N48" s="90"/>
    </row>
    <row r="49" spans="8:14" x14ac:dyDescent="0.25">
      <c r="H49" s="91"/>
      <c r="I49" s="91"/>
      <c r="J49" s="97"/>
      <c r="K49" s="79"/>
      <c r="L49" s="79"/>
      <c r="M49" s="79" t="str">
        <f>Table7281822432404856647280[[#This Row],[DBA]]&amp;" - "&amp;Table7281822432404856647280[[#This Row],[BIN]]&amp;" - "&amp;Table7281822432404856647280[[#This Row],[CAID]]</f>
        <v xml:space="preserve"> -  - </v>
      </c>
      <c r="N49" s="90"/>
    </row>
    <row r="50" spans="8:14" x14ac:dyDescent="0.25">
      <c r="H50" s="91"/>
      <c r="I50" s="91"/>
      <c r="J50" s="97"/>
      <c r="K50" s="79"/>
      <c r="L50" s="79"/>
      <c r="M50" s="79" t="str">
        <f>Table7281822432404856647280[[#This Row],[DBA]]&amp;" - "&amp;Table7281822432404856647280[[#This Row],[BIN]]&amp;" - "&amp;Table7281822432404856647280[[#This Row],[CAID]]</f>
        <v xml:space="preserve"> -  - </v>
      </c>
      <c r="N50" s="90"/>
    </row>
    <row r="51" spans="8:14" x14ac:dyDescent="0.25">
      <c r="H51" s="91"/>
      <c r="I51" s="91"/>
      <c r="J51" s="97"/>
      <c r="K51" s="79"/>
      <c r="L51" s="79"/>
      <c r="M51" s="79" t="str">
        <f>Table7281822432404856647280[[#This Row],[DBA]]&amp;" - "&amp;Table7281822432404856647280[[#This Row],[BIN]]&amp;" - "&amp;Table7281822432404856647280[[#This Row],[CAID]]</f>
        <v xml:space="preserve"> -  - </v>
      </c>
      <c r="N51" s="90"/>
    </row>
    <row r="52" spans="8:14" x14ac:dyDescent="0.25">
      <c r="H52" s="91"/>
      <c r="I52" s="91"/>
      <c r="J52" s="97"/>
      <c r="K52" s="79"/>
      <c r="L52" s="79"/>
      <c r="M52" s="79" t="str">
        <f>Table7281822432404856647280[[#This Row],[DBA]]&amp;" - "&amp;Table7281822432404856647280[[#This Row],[BIN]]&amp;" - "&amp;Table7281822432404856647280[[#This Row],[CAID]]</f>
        <v xml:space="preserve"> -  - </v>
      </c>
      <c r="N52" s="90"/>
    </row>
    <row r="53" spans="8:14" x14ac:dyDescent="0.25">
      <c r="H53" s="91"/>
      <c r="I53" s="91"/>
      <c r="J53" s="97"/>
      <c r="K53" s="79"/>
      <c r="L53" s="79"/>
      <c r="M53" s="79" t="str">
        <f>Table7281822432404856647280[[#This Row],[DBA]]&amp;" - "&amp;Table7281822432404856647280[[#This Row],[BIN]]&amp;" - "&amp;Table7281822432404856647280[[#This Row],[CAID]]</f>
        <v xml:space="preserve"> -  - </v>
      </c>
      <c r="N53" s="90"/>
    </row>
    <row r="54" spans="8:14" x14ac:dyDescent="0.25">
      <c r="H54" s="91"/>
      <c r="I54" s="91"/>
      <c r="J54" s="97"/>
      <c r="K54" s="79"/>
      <c r="L54" s="79"/>
      <c r="M54" s="79" t="str">
        <f>Table7281822432404856647280[[#This Row],[DBA]]&amp;" - "&amp;Table7281822432404856647280[[#This Row],[BIN]]&amp;" - "&amp;Table7281822432404856647280[[#This Row],[CAID]]</f>
        <v xml:space="preserve"> -  - </v>
      </c>
      <c r="N54" s="90"/>
    </row>
    <row r="55" spans="8:14" x14ac:dyDescent="0.25">
      <c r="H55" s="91"/>
      <c r="I55" s="91"/>
      <c r="J55" s="97"/>
      <c r="K55" s="79"/>
      <c r="L55" s="79"/>
      <c r="M55" s="79" t="str">
        <f>Table7281822432404856647280[[#This Row],[DBA]]&amp;" - "&amp;Table7281822432404856647280[[#This Row],[BIN]]&amp;" - "&amp;Table7281822432404856647280[[#This Row],[CAID]]</f>
        <v xml:space="preserve"> -  - </v>
      </c>
      <c r="N55" s="90"/>
    </row>
    <row r="56" spans="8:14" x14ac:dyDescent="0.25">
      <c r="H56" s="91"/>
      <c r="I56" s="91"/>
      <c r="J56" s="97"/>
      <c r="K56" s="79"/>
      <c r="L56" s="79"/>
      <c r="M56" s="79" t="str">
        <f>Table7281822432404856647280[[#This Row],[DBA]]&amp;" - "&amp;Table7281822432404856647280[[#This Row],[BIN]]&amp;" - "&amp;Table7281822432404856647280[[#This Row],[CAID]]</f>
        <v xml:space="preserve"> -  - </v>
      </c>
      <c r="N56" s="90"/>
    </row>
    <row r="57" spans="8:14" x14ac:dyDescent="0.25">
      <c r="H57" s="91"/>
      <c r="I57" s="91"/>
      <c r="J57" s="97"/>
      <c r="K57" s="79"/>
      <c r="L57" s="79"/>
      <c r="M57" s="79" t="str">
        <f>Table7281822432404856647280[[#This Row],[DBA]]&amp;" - "&amp;Table7281822432404856647280[[#This Row],[BIN]]&amp;" - "&amp;Table7281822432404856647280[[#This Row],[CAID]]</f>
        <v xml:space="preserve"> -  - </v>
      </c>
      <c r="N57" s="90"/>
    </row>
    <row r="58" spans="8:14" x14ac:dyDescent="0.25">
      <c r="H58" s="91"/>
      <c r="I58" s="91"/>
      <c r="J58" s="97"/>
      <c r="K58" s="79"/>
      <c r="L58" s="79"/>
      <c r="M58" s="79" t="str">
        <f>Table7281822432404856647280[[#This Row],[DBA]]&amp;" - "&amp;Table7281822432404856647280[[#This Row],[BIN]]&amp;" - "&amp;Table7281822432404856647280[[#This Row],[CAID]]</f>
        <v xml:space="preserve"> -  - </v>
      </c>
      <c r="N58" s="90"/>
    </row>
    <row r="59" spans="8:14" x14ac:dyDescent="0.25">
      <c r="H59" s="91"/>
      <c r="I59" s="91"/>
      <c r="J59" s="97"/>
      <c r="K59" s="79"/>
      <c r="L59" s="79"/>
      <c r="M59" s="79" t="str">
        <f>Table7281822432404856647280[[#This Row],[DBA]]&amp;" - "&amp;Table7281822432404856647280[[#This Row],[BIN]]&amp;" - "&amp;Table7281822432404856647280[[#This Row],[CAID]]</f>
        <v xml:space="preserve"> -  - </v>
      </c>
      <c r="N59" s="90"/>
    </row>
    <row r="60" spans="8:14" x14ac:dyDescent="0.25">
      <c r="H60" s="91"/>
      <c r="I60" s="91"/>
      <c r="J60" s="97"/>
      <c r="K60" s="79"/>
      <c r="L60" s="79"/>
      <c r="M60" s="79" t="str">
        <f>Table7281822432404856647280[[#This Row],[DBA]]&amp;" - "&amp;Table7281822432404856647280[[#This Row],[BIN]]&amp;" - "&amp;Table7281822432404856647280[[#This Row],[CAID]]</f>
        <v xml:space="preserve"> -  - </v>
      </c>
      <c r="N60" s="90"/>
    </row>
    <row r="61" spans="8:14" x14ac:dyDescent="0.25">
      <c r="H61" s="91"/>
      <c r="I61" s="91"/>
      <c r="J61" s="97"/>
      <c r="K61" s="79"/>
      <c r="L61" s="79"/>
      <c r="M61" s="79" t="str">
        <f>Table7281822432404856647280[[#This Row],[DBA]]&amp;" - "&amp;Table7281822432404856647280[[#This Row],[BIN]]&amp;" - "&amp;Table7281822432404856647280[[#This Row],[CAID]]</f>
        <v xml:space="preserve"> -  - </v>
      </c>
      <c r="N61" s="90"/>
    </row>
    <row r="62" spans="8:14" x14ac:dyDescent="0.25">
      <c r="H62" s="91"/>
      <c r="I62" s="91"/>
      <c r="J62" s="97"/>
      <c r="K62" s="79"/>
      <c r="L62" s="79"/>
      <c r="M62" s="79" t="str">
        <f>Table7281822432404856647280[[#This Row],[DBA]]&amp;" - "&amp;Table7281822432404856647280[[#This Row],[BIN]]&amp;" - "&amp;Table7281822432404856647280[[#This Row],[CAID]]</f>
        <v xml:space="preserve"> -  - </v>
      </c>
      <c r="N62" s="90"/>
    </row>
    <row r="63" spans="8:14" x14ac:dyDescent="0.25">
      <c r="H63" s="91"/>
      <c r="I63" s="91"/>
      <c r="J63" s="97"/>
      <c r="K63" s="79"/>
      <c r="L63" s="79"/>
      <c r="M63" s="79" t="str">
        <f>Table7281822432404856647280[[#This Row],[DBA]]&amp;" - "&amp;Table7281822432404856647280[[#This Row],[BIN]]&amp;" - "&amp;Table7281822432404856647280[[#This Row],[CAID]]</f>
        <v xml:space="preserve"> -  - </v>
      </c>
      <c r="N63" s="90"/>
    </row>
    <row r="64" spans="8:14" x14ac:dyDescent="0.25">
      <c r="H64" s="91"/>
      <c r="I64" s="91"/>
      <c r="J64" s="97"/>
      <c r="K64" s="79"/>
      <c r="L64" s="79"/>
      <c r="M64" s="79" t="str">
        <f>Table7281822432404856647280[[#This Row],[DBA]]&amp;" - "&amp;Table7281822432404856647280[[#This Row],[BIN]]&amp;" - "&amp;Table7281822432404856647280[[#This Row],[CAID]]</f>
        <v xml:space="preserve"> -  - </v>
      </c>
      <c r="N64" s="90"/>
    </row>
    <row r="65" spans="8:14" x14ac:dyDescent="0.25">
      <c r="H65" s="91"/>
      <c r="I65" s="91"/>
      <c r="J65" s="97"/>
      <c r="K65" s="79"/>
      <c r="L65" s="79"/>
      <c r="M65" s="79" t="str">
        <f>Table7281822432404856647280[[#This Row],[DBA]]&amp;" - "&amp;Table7281822432404856647280[[#This Row],[BIN]]&amp;" - "&amp;Table7281822432404856647280[[#This Row],[CAID]]</f>
        <v xml:space="preserve"> -  - </v>
      </c>
      <c r="N65" s="90"/>
    </row>
    <row r="66" spans="8:14" x14ac:dyDescent="0.25">
      <c r="H66" s="91"/>
      <c r="I66" s="91"/>
      <c r="J66" s="97"/>
      <c r="K66" s="79"/>
      <c r="L66" s="79"/>
      <c r="M66" s="79" t="str">
        <f>Table7281822432404856647280[[#This Row],[DBA]]&amp;" - "&amp;Table7281822432404856647280[[#This Row],[BIN]]&amp;" - "&amp;Table7281822432404856647280[[#This Row],[CAID]]</f>
        <v xml:space="preserve"> -  - </v>
      </c>
      <c r="N66" s="90"/>
    </row>
    <row r="67" spans="8:14" x14ac:dyDescent="0.25">
      <c r="H67" s="91"/>
      <c r="I67" s="91"/>
      <c r="J67" s="97"/>
      <c r="K67" s="79"/>
      <c r="L67" s="79"/>
      <c r="M67" s="79" t="str">
        <f>Table7281822432404856647280[[#This Row],[DBA]]&amp;" - "&amp;Table7281822432404856647280[[#This Row],[BIN]]&amp;" - "&amp;Table7281822432404856647280[[#This Row],[CAID]]</f>
        <v xml:space="preserve"> -  - </v>
      </c>
      <c r="N67" s="90"/>
    </row>
    <row r="68" spans="8:14" x14ac:dyDescent="0.25">
      <c r="H68" s="91"/>
      <c r="I68" s="91"/>
      <c r="J68" s="97"/>
      <c r="K68" s="79"/>
      <c r="L68" s="79"/>
      <c r="M68" s="79" t="str">
        <f>Table7281822432404856647280[[#This Row],[DBA]]&amp;" - "&amp;Table7281822432404856647280[[#This Row],[BIN]]&amp;" - "&amp;Table7281822432404856647280[[#This Row],[CAID]]</f>
        <v xml:space="preserve"> -  - </v>
      </c>
      <c r="N68" s="90"/>
    </row>
    <row r="69" spans="8:14" x14ac:dyDescent="0.25">
      <c r="H69" s="91"/>
      <c r="I69" s="91"/>
      <c r="J69" s="97"/>
      <c r="K69" s="79"/>
      <c r="L69" s="79"/>
      <c r="M69" s="79" t="str">
        <f>Table7281822432404856647280[[#This Row],[DBA]]&amp;" - "&amp;Table7281822432404856647280[[#This Row],[BIN]]&amp;" - "&amp;Table7281822432404856647280[[#This Row],[CAID]]</f>
        <v xml:space="preserve"> -  - </v>
      </c>
      <c r="N69" s="90"/>
    </row>
    <row r="70" spans="8:14" x14ac:dyDescent="0.25">
      <c r="H70" s="91"/>
      <c r="I70" s="91"/>
      <c r="J70" s="97"/>
      <c r="K70" s="79"/>
      <c r="L70" s="79"/>
      <c r="M70" s="79" t="str">
        <f>Table7281822432404856647280[[#This Row],[DBA]]&amp;" - "&amp;Table7281822432404856647280[[#This Row],[BIN]]&amp;" - "&amp;Table7281822432404856647280[[#This Row],[CAID]]</f>
        <v xml:space="preserve"> -  - </v>
      </c>
      <c r="N70" s="90"/>
    </row>
    <row r="71" spans="8:14" x14ac:dyDescent="0.25">
      <c r="H71" s="91"/>
      <c r="I71" s="91"/>
      <c r="J71" s="97"/>
      <c r="K71" s="79"/>
      <c r="L71" s="79"/>
      <c r="M71" s="79" t="str">
        <f>Table7281822432404856647280[[#This Row],[DBA]]&amp;" - "&amp;Table7281822432404856647280[[#This Row],[BIN]]&amp;" - "&amp;Table7281822432404856647280[[#This Row],[CAID]]</f>
        <v xml:space="preserve"> -  - </v>
      </c>
      <c r="N71" s="90"/>
    </row>
    <row r="72" spans="8:14" x14ac:dyDescent="0.25">
      <c r="H72" s="91"/>
      <c r="I72" s="91"/>
      <c r="J72" s="97"/>
      <c r="K72" s="79"/>
      <c r="L72" s="79"/>
      <c r="M72" s="79" t="str">
        <f>Table7281822432404856647280[[#This Row],[DBA]]&amp;" - "&amp;Table7281822432404856647280[[#This Row],[BIN]]&amp;" - "&amp;Table7281822432404856647280[[#This Row],[CAID]]</f>
        <v xml:space="preserve"> -  - </v>
      </c>
      <c r="N72" s="90"/>
    </row>
    <row r="73" spans="8:14" x14ac:dyDescent="0.25">
      <c r="H73" s="91"/>
      <c r="I73" s="91"/>
      <c r="J73" s="97"/>
      <c r="K73" s="79"/>
      <c r="L73" s="79"/>
      <c r="M73" s="79" t="str">
        <f>Table7281822432404856647280[[#This Row],[DBA]]&amp;" - "&amp;Table7281822432404856647280[[#This Row],[BIN]]&amp;" - "&amp;Table7281822432404856647280[[#This Row],[CAID]]</f>
        <v xml:space="preserve"> -  - </v>
      </c>
      <c r="N73" s="90"/>
    </row>
    <row r="74" spans="8:14" x14ac:dyDescent="0.25">
      <c r="H74" s="91"/>
      <c r="I74" s="91"/>
      <c r="J74" s="97"/>
      <c r="K74" s="79"/>
      <c r="L74" s="79"/>
      <c r="M74" s="79" t="str">
        <f>Table7281822432404856647280[[#This Row],[DBA]]&amp;" - "&amp;Table7281822432404856647280[[#This Row],[BIN]]&amp;" - "&amp;Table7281822432404856647280[[#This Row],[CAID]]</f>
        <v xml:space="preserve"> -  - </v>
      </c>
      <c r="N74" s="90"/>
    </row>
    <row r="75" spans="8:14" x14ac:dyDescent="0.25">
      <c r="H75" s="91"/>
      <c r="I75" s="91"/>
      <c r="J75" s="97"/>
      <c r="K75" s="79"/>
      <c r="L75" s="79"/>
      <c r="M75" s="79" t="str">
        <f>Table7281822432404856647280[[#This Row],[DBA]]&amp;" - "&amp;Table7281822432404856647280[[#This Row],[BIN]]&amp;" - "&amp;Table7281822432404856647280[[#This Row],[CAID]]</f>
        <v xml:space="preserve"> -  - </v>
      </c>
      <c r="N75" s="90"/>
    </row>
    <row r="76" spans="8:14" x14ac:dyDescent="0.25">
      <c r="H76" s="91"/>
      <c r="I76" s="91"/>
      <c r="J76" s="97"/>
      <c r="K76" s="79"/>
      <c r="L76" s="79"/>
      <c r="M76" s="79" t="str">
        <f>Table7281822432404856647280[[#This Row],[DBA]]&amp;" - "&amp;Table7281822432404856647280[[#This Row],[BIN]]&amp;" - "&amp;Table7281822432404856647280[[#This Row],[CAID]]</f>
        <v xml:space="preserve"> -  - </v>
      </c>
      <c r="N76" s="90"/>
    </row>
    <row r="77" spans="8:14" x14ac:dyDescent="0.25">
      <c r="H77" s="91"/>
      <c r="I77" s="91"/>
      <c r="J77" s="97"/>
      <c r="K77" s="79"/>
      <c r="L77" s="79"/>
      <c r="M77" s="79" t="str">
        <f>Table7281822432404856647280[[#This Row],[DBA]]&amp;" - "&amp;Table7281822432404856647280[[#This Row],[BIN]]&amp;" - "&amp;Table7281822432404856647280[[#This Row],[CAID]]</f>
        <v xml:space="preserve"> -  - </v>
      </c>
      <c r="N77" s="90"/>
    </row>
    <row r="78" spans="8:14" x14ac:dyDescent="0.25">
      <c r="H78" s="91"/>
      <c r="I78" s="91"/>
      <c r="J78" s="97"/>
      <c r="K78" s="79"/>
      <c r="L78" s="79"/>
      <c r="M78" s="79" t="str">
        <f>Table7281822432404856647280[[#This Row],[DBA]]&amp;" - "&amp;Table7281822432404856647280[[#This Row],[BIN]]&amp;" - "&amp;Table7281822432404856647280[[#This Row],[CAID]]</f>
        <v xml:space="preserve"> -  - </v>
      </c>
      <c r="N78" s="90"/>
    </row>
    <row r="79" spans="8:14" x14ac:dyDescent="0.25">
      <c r="H79" s="91"/>
      <c r="I79" s="91"/>
      <c r="J79" s="97"/>
      <c r="K79" s="79"/>
      <c r="L79" s="79"/>
      <c r="M79" s="79" t="str">
        <f>Table7281822432404856647280[[#This Row],[DBA]]&amp;" - "&amp;Table7281822432404856647280[[#This Row],[BIN]]&amp;" - "&amp;Table7281822432404856647280[[#This Row],[CAID]]</f>
        <v xml:space="preserve"> -  - </v>
      </c>
      <c r="N79" s="90"/>
    </row>
    <row r="80" spans="8:14" x14ac:dyDescent="0.25">
      <c r="H80" s="91"/>
      <c r="I80" s="91"/>
      <c r="J80" s="97"/>
      <c r="K80" s="79"/>
      <c r="L80" s="79"/>
      <c r="M80" s="79" t="str">
        <f>Table7281822432404856647280[[#This Row],[DBA]]&amp;" - "&amp;Table7281822432404856647280[[#This Row],[BIN]]&amp;" - "&amp;Table7281822432404856647280[[#This Row],[CAID]]</f>
        <v xml:space="preserve"> -  - </v>
      </c>
      <c r="N80" s="90"/>
    </row>
    <row r="81" spans="8:14" x14ac:dyDescent="0.25">
      <c r="H81" s="91"/>
      <c r="I81" s="91"/>
      <c r="J81" s="97"/>
      <c r="K81" s="79"/>
      <c r="L81" s="79"/>
      <c r="M81" s="79" t="str">
        <f>Table7281822432404856647280[[#This Row],[DBA]]&amp;" - "&amp;Table7281822432404856647280[[#This Row],[BIN]]&amp;" - "&amp;Table7281822432404856647280[[#This Row],[CAID]]</f>
        <v xml:space="preserve"> -  - </v>
      </c>
      <c r="N81" s="90"/>
    </row>
    <row r="82" spans="8:14" x14ac:dyDescent="0.25">
      <c r="H82" s="91"/>
      <c r="I82" s="91"/>
      <c r="J82" s="97"/>
      <c r="K82" s="79"/>
      <c r="L82" s="79"/>
      <c r="M82" s="79" t="str">
        <f>Table7281822432404856647280[[#This Row],[DBA]]&amp;" - "&amp;Table7281822432404856647280[[#This Row],[BIN]]&amp;" - "&amp;Table7281822432404856647280[[#This Row],[CAID]]</f>
        <v xml:space="preserve"> -  - </v>
      </c>
      <c r="N82" s="90"/>
    </row>
    <row r="83" spans="8:14" x14ac:dyDescent="0.25">
      <c r="H83" s="91"/>
      <c r="I83" s="91"/>
      <c r="J83" s="97"/>
      <c r="K83" s="79"/>
      <c r="L83" s="79"/>
      <c r="M83" s="79" t="str">
        <f>Table7281822432404856647280[[#This Row],[DBA]]&amp;" - "&amp;Table7281822432404856647280[[#This Row],[BIN]]&amp;" - "&amp;Table7281822432404856647280[[#This Row],[CAID]]</f>
        <v xml:space="preserve"> -  - </v>
      </c>
      <c r="N83" s="90"/>
    </row>
    <row r="84" spans="8:14" x14ac:dyDescent="0.25">
      <c r="H84" s="91"/>
      <c r="I84" s="91"/>
      <c r="J84" s="97"/>
      <c r="K84" s="79"/>
      <c r="L84" s="79"/>
      <c r="M84" s="79" t="str">
        <f>Table7281822432404856647280[[#This Row],[DBA]]&amp;" - "&amp;Table7281822432404856647280[[#This Row],[BIN]]&amp;" - "&amp;Table7281822432404856647280[[#This Row],[CAID]]</f>
        <v xml:space="preserve"> -  - </v>
      </c>
      <c r="N84" s="90"/>
    </row>
    <row r="85" spans="8:14" x14ac:dyDescent="0.25">
      <c r="H85" s="91"/>
      <c r="I85" s="91"/>
      <c r="J85" s="97"/>
      <c r="K85" s="79"/>
      <c r="L85" s="79"/>
      <c r="M85" s="79" t="str">
        <f>Table7281822432404856647280[[#This Row],[DBA]]&amp;" - "&amp;Table7281822432404856647280[[#This Row],[BIN]]&amp;" - "&amp;Table7281822432404856647280[[#This Row],[CAID]]</f>
        <v xml:space="preserve"> -  - </v>
      </c>
      <c r="N85" s="90"/>
    </row>
    <row r="86" spans="8:14" x14ac:dyDescent="0.25">
      <c r="H86" s="91"/>
      <c r="I86" s="91"/>
      <c r="J86" s="97"/>
      <c r="K86" s="79"/>
      <c r="L86" s="79"/>
      <c r="M86" s="79" t="str">
        <f>Table7281822432404856647280[[#This Row],[DBA]]&amp;" - "&amp;Table7281822432404856647280[[#This Row],[BIN]]&amp;" - "&amp;Table7281822432404856647280[[#This Row],[CAID]]</f>
        <v xml:space="preserve"> -  - </v>
      </c>
      <c r="N86" s="90"/>
    </row>
    <row r="87" spans="8:14" x14ac:dyDescent="0.25">
      <c r="H87" s="91"/>
      <c r="I87" s="91"/>
      <c r="J87" s="97"/>
      <c r="K87" s="79"/>
      <c r="L87" s="79"/>
      <c r="M87" s="79" t="str">
        <f>Table7281822432404856647280[[#This Row],[DBA]]&amp;" - "&amp;Table7281822432404856647280[[#This Row],[BIN]]&amp;" - "&amp;Table7281822432404856647280[[#This Row],[CAID]]</f>
        <v xml:space="preserve"> -  - </v>
      </c>
      <c r="N87" s="90"/>
    </row>
    <row r="88" spans="8:14" x14ac:dyDescent="0.25">
      <c r="H88" s="91"/>
      <c r="I88" s="91"/>
      <c r="J88" s="97"/>
      <c r="K88" s="79"/>
      <c r="L88" s="79"/>
      <c r="M88" s="79" t="str">
        <f>Table7281822432404856647280[[#This Row],[DBA]]&amp;" - "&amp;Table7281822432404856647280[[#This Row],[BIN]]&amp;" - "&amp;Table7281822432404856647280[[#This Row],[CAID]]</f>
        <v xml:space="preserve"> -  - </v>
      </c>
      <c r="N88" s="90"/>
    </row>
    <row r="89" spans="8:14" x14ac:dyDescent="0.25">
      <c r="H89" s="91"/>
      <c r="I89" s="91"/>
      <c r="J89" s="97"/>
      <c r="K89" s="79"/>
      <c r="L89" s="79"/>
      <c r="M89" s="79" t="str">
        <f>Table7281822432404856647280[[#This Row],[DBA]]&amp;" - "&amp;Table7281822432404856647280[[#This Row],[BIN]]&amp;" - "&amp;Table7281822432404856647280[[#This Row],[CAID]]</f>
        <v xml:space="preserve"> -  - </v>
      </c>
      <c r="N89" s="90"/>
    </row>
    <row r="90" spans="8:14" x14ac:dyDescent="0.25">
      <c r="H90" s="91"/>
      <c r="I90" s="91"/>
      <c r="J90" s="97"/>
      <c r="K90" s="79"/>
      <c r="L90" s="79"/>
      <c r="M90" s="79" t="str">
        <f>Table7281822432404856647280[[#This Row],[DBA]]&amp;" - "&amp;Table7281822432404856647280[[#This Row],[BIN]]&amp;" - "&amp;Table7281822432404856647280[[#This Row],[CAID]]</f>
        <v xml:space="preserve"> -  - </v>
      </c>
      <c r="N90" s="90"/>
    </row>
    <row r="91" spans="8:14" x14ac:dyDescent="0.25">
      <c r="H91" s="91"/>
      <c r="I91" s="91"/>
      <c r="J91" s="97"/>
      <c r="K91" s="79"/>
      <c r="L91" s="79"/>
      <c r="M91" s="79" t="str">
        <f>Table7281822432404856647280[[#This Row],[DBA]]&amp;" - "&amp;Table7281822432404856647280[[#This Row],[BIN]]&amp;" - "&amp;Table7281822432404856647280[[#This Row],[CAID]]</f>
        <v xml:space="preserve"> -  - </v>
      </c>
      <c r="N91" s="90"/>
    </row>
    <row r="92" spans="8:14" x14ac:dyDescent="0.25">
      <c r="H92" s="91"/>
      <c r="I92" s="91"/>
      <c r="J92" s="97"/>
      <c r="K92" s="79"/>
      <c r="L92" s="79"/>
      <c r="M92" s="79" t="str">
        <f>Table7281822432404856647280[[#This Row],[DBA]]&amp;" - "&amp;Table7281822432404856647280[[#This Row],[BIN]]&amp;" - "&amp;Table7281822432404856647280[[#This Row],[CAID]]</f>
        <v xml:space="preserve"> -  - </v>
      </c>
      <c r="N92" s="90"/>
    </row>
    <row r="93" spans="8:14" x14ac:dyDescent="0.25">
      <c r="H93" s="91"/>
      <c r="I93" s="91"/>
      <c r="J93" s="97"/>
      <c r="K93" s="79"/>
      <c r="L93" s="79"/>
      <c r="M93" s="79" t="str">
        <f>Table7281822432404856647280[[#This Row],[DBA]]&amp;" - "&amp;Table7281822432404856647280[[#This Row],[BIN]]&amp;" - "&amp;Table7281822432404856647280[[#This Row],[CAID]]</f>
        <v xml:space="preserve"> -  - </v>
      </c>
      <c r="N93" s="90"/>
    </row>
    <row r="94" spans="8:14" x14ac:dyDescent="0.25">
      <c r="H94" s="91"/>
      <c r="I94" s="91"/>
      <c r="J94" s="97"/>
      <c r="K94" s="79"/>
      <c r="L94" s="79"/>
      <c r="M94" s="79" t="str">
        <f>Table7281822432404856647280[[#This Row],[DBA]]&amp;" - "&amp;Table7281822432404856647280[[#This Row],[BIN]]&amp;" - "&amp;Table7281822432404856647280[[#This Row],[CAID]]</f>
        <v xml:space="preserve"> -  - </v>
      </c>
      <c r="N94" s="90"/>
    </row>
    <row r="95" spans="8:14" x14ac:dyDescent="0.25">
      <c r="H95" s="91"/>
      <c r="I95" s="91"/>
      <c r="J95" s="97"/>
      <c r="K95" s="79"/>
      <c r="L95" s="79"/>
      <c r="M95" s="79" t="str">
        <f>Table7281822432404856647280[[#This Row],[DBA]]&amp;" - "&amp;Table7281822432404856647280[[#This Row],[BIN]]&amp;" - "&amp;Table7281822432404856647280[[#This Row],[CAID]]</f>
        <v xml:space="preserve"> -  - </v>
      </c>
      <c r="N95" s="90"/>
    </row>
    <row r="96" spans="8:14" x14ac:dyDescent="0.25">
      <c r="H96" s="91"/>
      <c r="I96" s="91"/>
      <c r="J96" s="97"/>
      <c r="K96" s="79"/>
      <c r="L96" s="79"/>
      <c r="M96" s="79" t="str">
        <f>Table7281822432404856647280[[#This Row],[DBA]]&amp;" - "&amp;Table7281822432404856647280[[#This Row],[BIN]]&amp;" - "&amp;Table7281822432404856647280[[#This Row],[CAID]]</f>
        <v xml:space="preserve"> -  - </v>
      </c>
      <c r="N96" s="90"/>
    </row>
    <row r="97" spans="8:14" x14ac:dyDescent="0.25">
      <c r="H97" s="91"/>
      <c r="I97" s="91"/>
      <c r="J97" s="97"/>
      <c r="K97" s="79"/>
      <c r="L97" s="79"/>
      <c r="M97" s="79" t="str">
        <f>Table7281822432404856647280[[#This Row],[DBA]]&amp;" - "&amp;Table7281822432404856647280[[#This Row],[BIN]]&amp;" - "&amp;Table7281822432404856647280[[#This Row],[CAID]]</f>
        <v xml:space="preserve"> -  - </v>
      </c>
      <c r="N97" s="90"/>
    </row>
    <row r="98" spans="8:14" x14ac:dyDescent="0.25">
      <c r="H98" s="91"/>
      <c r="I98" s="91"/>
      <c r="J98" s="97"/>
      <c r="K98" s="79"/>
      <c r="L98" s="79"/>
      <c r="M98" s="79" t="str">
        <f>Table7281822432404856647280[[#This Row],[DBA]]&amp;" - "&amp;Table7281822432404856647280[[#This Row],[BIN]]&amp;" - "&amp;Table7281822432404856647280[[#This Row],[CAID]]</f>
        <v xml:space="preserve"> -  - </v>
      </c>
      <c r="N98" s="90"/>
    </row>
    <row r="99" spans="8:14" x14ac:dyDescent="0.25">
      <c r="H99" s="91"/>
      <c r="I99" s="91"/>
      <c r="J99" s="97"/>
      <c r="K99" s="79"/>
      <c r="L99" s="79"/>
      <c r="M99" s="79" t="str">
        <f>Table7281822432404856647280[[#This Row],[DBA]]&amp;" - "&amp;Table7281822432404856647280[[#This Row],[BIN]]&amp;" - "&amp;Table7281822432404856647280[[#This Row],[CAID]]</f>
        <v xml:space="preserve"> -  - </v>
      </c>
      <c r="N99" s="90"/>
    </row>
    <row r="100" spans="8:14" x14ac:dyDescent="0.25">
      <c r="H100" s="91"/>
      <c r="I100" s="91"/>
      <c r="J100" s="97"/>
      <c r="K100" s="79"/>
      <c r="L100" s="79"/>
      <c r="M100" s="79" t="str">
        <f>Table7281822432404856647280[[#This Row],[DBA]]&amp;" - "&amp;Table7281822432404856647280[[#This Row],[BIN]]&amp;" - "&amp;Table7281822432404856647280[[#This Row],[CAID]]</f>
        <v xml:space="preserve"> -  - </v>
      </c>
      <c r="N100" s="90"/>
    </row>
    <row r="101" spans="8:14" x14ac:dyDescent="0.25">
      <c r="H101" s="91"/>
      <c r="I101" s="91"/>
      <c r="J101" s="97"/>
      <c r="K101" s="79"/>
      <c r="L101" s="79"/>
      <c r="M101" s="79" t="str">
        <f>Table7281822432404856647280[[#This Row],[DBA]]&amp;" - "&amp;Table7281822432404856647280[[#This Row],[BIN]]&amp;" - "&amp;Table7281822432404856647280[[#This Row],[CAID]]</f>
        <v xml:space="preserve"> -  - </v>
      </c>
      <c r="N101" s="90"/>
    </row>
    <row r="102" spans="8:14" x14ac:dyDescent="0.25">
      <c r="H102" s="91"/>
      <c r="I102" s="91"/>
      <c r="J102" s="97"/>
      <c r="K102" s="79"/>
      <c r="L102" s="79"/>
      <c r="M102" s="79" t="str">
        <f>Table7281822432404856647280[[#This Row],[DBA]]&amp;" - "&amp;Table7281822432404856647280[[#This Row],[BIN]]&amp;" - "&amp;Table7281822432404856647280[[#This Row],[CAID]]</f>
        <v xml:space="preserve"> -  - </v>
      </c>
      <c r="N102" s="90"/>
    </row>
    <row r="103" spans="8:14" x14ac:dyDescent="0.25">
      <c r="H103" s="91"/>
      <c r="I103" s="91"/>
      <c r="J103" s="97"/>
      <c r="K103" s="79"/>
      <c r="L103" s="79"/>
      <c r="M103" s="79" t="str">
        <f>Table7281822432404856647280[[#This Row],[DBA]]&amp;" - "&amp;Table7281822432404856647280[[#This Row],[BIN]]&amp;" - "&amp;Table7281822432404856647280[[#This Row],[CAID]]</f>
        <v xml:space="preserve"> -  - </v>
      </c>
      <c r="N103" s="90"/>
    </row>
    <row r="104" spans="8:14" x14ac:dyDescent="0.25">
      <c r="H104" s="91"/>
      <c r="I104" s="91"/>
      <c r="J104" s="97"/>
      <c r="K104" s="79"/>
      <c r="L104" s="79"/>
      <c r="M104" s="79" t="str">
        <f>Table7281822432404856647280[[#This Row],[DBA]]&amp;" - "&amp;Table7281822432404856647280[[#This Row],[BIN]]&amp;" - "&amp;Table7281822432404856647280[[#This Row],[CAID]]</f>
        <v xml:space="preserve"> -  - </v>
      </c>
      <c r="N104" s="90"/>
    </row>
    <row r="105" spans="8:14" x14ac:dyDescent="0.25">
      <c r="H105" s="91"/>
      <c r="I105" s="91"/>
      <c r="J105" s="97"/>
      <c r="K105" s="79"/>
      <c r="L105" s="79"/>
      <c r="M105" s="79" t="str">
        <f>Table7281822432404856647280[[#This Row],[DBA]]&amp;" - "&amp;Table7281822432404856647280[[#This Row],[BIN]]&amp;" - "&amp;Table7281822432404856647280[[#This Row],[CAID]]</f>
        <v xml:space="preserve"> -  - </v>
      </c>
      <c r="N105" s="90"/>
    </row>
    <row r="106" spans="8:14" x14ac:dyDescent="0.25">
      <c r="H106" s="91"/>
      <c r="I106" s="91"/>
      <c r="J106" s="97"/>
      <c r="K106" s="79"/>
      <c r="L106" s="79"/>
      <c r="M106" s="79" t="str">
        <f>Table7281822432404856647280[[#This Row],[DBA]]&amp;" - "&amp;Table7281822432404856647280[[#This Row],[BIN]]&amp;" - "&amp;Table7281822432404856647280[[#This Row],[CAID]]</f>
        <v xml:space="preserve"> -  - </v>
      </c>
      <c r="N106" s="90"/>
    </row>
    <row r="107" spans="8:14" x14ac:dyDescent="0.25">
      <c r="H107" s="91"/>
      <c r="I107" s="91"/>
      <c r="J107" s="97"/>
      <c r="K107" s="79"/>
      <c r="L107" s="79"/>
      <c r="M107" s="79" t="str">
        <f>Table7281822432404856647280[[#This Row],[DBA]]&amp;" - "&amp;Table7281822432404856647280[[#This Row],[BIN]]&amp;" - "&amp;Table7281822432404856647280[[#This Row],[CAID]]</f>
        <v xml:space="preserve"> -  - </v>
      </c>
      <c r="N107" s="90"/>
    </row>
    <row r="108" spans="8:14" x14ac:dyDescent="0.25">
      <c r="H108" s="91"/>
      <c r="I108" s="91"/>
      <c r="J108" s="97"/>
      <c r="K108" s="79"/>
      <c r="L108" s="79"/>
      <c r="M108" s="79" t="str">
        <f>Table7281822432404856647280[[#This Row],[DBA]]&amp;" - "&amp;Table7281822432404856647280[[#This Row],[BIN]]&amp;" - "&amp;Table7281822432404856647280[[#This Row],[CAID]]</f>
        <v xml:space="preserve"> -  - </v>
      </c>
      <c r="N108" s="90"/>
    </row>
    <row r="109" spans="8:14" x14ac:dyDescent="0.25">
      <c r="H109" s="91"/>
      <c r="I109" s="91"/>
      <c r="J109" s="97"/>
      <c r="K109" s="79"/>
      <c r="L109" s="79"/>
      <c r="M109" s="79" t="str">
        <f>Table7281822432404856647280[[#This Row],[DBA]]&amp;" - "&amp;Table7281822432404856647280[[#This Row],[BIN]]&amp;" - "&amp;Table7281822432404856647280[[#This Row],[CAID]]</f>
        <v xml:space="preserve"> -  - </v>
      </c>
      <c r="N109" s="90"/>
    </row>
    <row r="110" spans="8:14" x14ac:dyDescent="0.25">
      <c r="H110" s="91"/>
      <c r="I110" s="91"/>
      <c r="J110" s="97"/>
      <c r="K110" s="79"/>
      <c r="L110" s="79"/>
      <c r="M110" s="79" t="str">
        <f>Table7281822432404856647280[[#This Row],[DBA]]&amp;" - "&amp;Table7281822432404856647280[[#This Row],[BIN]]&amp;" - "&amp;Table7281822432404856647280[[#This Row],[CAID]]</f>
        <v xml:space="preserve"> -  - </v>
      </c>
      <c r="N110" s="90"/>
    </row>
    <row r="111" spans="8:14" x14ac:dyDescent="0.25">
      <c r="H111" s="91"/>
      <c r="I111" s="91"/>
      <c r="J111" s="97"/>
      <c r="K111" s="79"/>
      <c r="L111" s="79"/>
      <c r="M111" s="79" t="str">
        <f>Table7281822432404856647280[[#This Row],[DBA]]&amp;" - "&amp;Table7281822432404856647280[[#This Row],[BIN]]&amp;" - "&amp;Table7281822432404856647280[[#This Row],[CAID]]</f>
        <v xml:space="preserve"> -  - </v>
      </c>
      <c r="N111" s="90"/>
    </row>
    <row r="112" spans="8:14" x14ac:dyDescent="0.25">
      <c r="H112" s="91"/>
      <c r="I112" s="91"/>
      <c r="J112" s="97"/>
      <c r="K112" s="79"/>
      <c r="L112" s="79"/>
      <c r="M112" s="79" t="str">
        <f>Table7281822432404856647280[[#This Row],[DBA]]&amp;" - "&amp;Table7281822432404856647280[[#This Row],[BIN]]&amp;" - "&amp;Table7281822432404856647280[[#This Row],[CAID]]</f>
        <v xml:space="preserve"> -  - </v>
      </c>
      <c r="N112" s="90"/>
    </row>
    <row r="113" spans="8:14" x14ac:dyDescent="0.25">
      <c r="H113" s="91"/>
      <c r="I113" s="91"/>
      <c r="J113" s="97"/>
      <c r="K113" s="79"/>
      <c r="L113" s="79"/>
      <c r="M113" s="79" t="str">
        <f>Table7281822432404856647280[[#This Row],[DBA]]&amp;" - "&amp;Table7281822432404856647280[[#This Row],[BIN]]&amp;" - "&amp;Table7281822432404856647280[[#This Row],[CAID]]</f>
        <v xml:space="preserve"> -  - </v>
      </c>
      <c r="N113" s="90"/>
    </row>
    <row r="114" spans="8:14" x14ac:dyDescent="0.25">
      <c r="H114" s="91"/>
      <c r="I114" s="91"/>
      <c r="J114" s="97"/>
      <c r="K114" s="79"/>
      <c r="L114" s="79"/>
      <c r="M114" s="79" t="str">
        <f>Table7281822432404856647280[[#This Row],[DBA]]&amp;" - "&amp;Table7281822432404856647280[[#This Row],[BIN]]&amp;" - "&amp;Table7281822432404856647280[[#This Row],[CAID]]</f>
        <v xml:space="preserve"> -  - </v>
      </c>
      <c r="N114" s="90"/>
    </row>
    <row r="115" spans="8:14" x14ac:dyDescent="0.25">
      <c r="H115" s="91"/>
      <c r="I115" s="91"/>
      <c r="J115" s="97"/>
      <c r="K115" s="79"/>
      <c r="L115" s="79"/>
      <c r="M115" s="79" t="str">
        <f>Table7281822432404856647280[[#This Row],[DBA]]&amp;" - "&amp;Table7281822432404856647280[[#This Row],[BIN]]&amp;" - "&amp;Table7281822432404856647280[[#This Row],[CAID]]</f>
        <v xml:space="preserve"> -  - </v>
      </c>
      <c r="N115" s="90"/>
    </row>
    <row r="116" spans="8:14" x14ac:dyDescent="0.25">
      <c r="H116" s="91"/>
      <c r="I116" s="91"/>
      <c r="J116" s="97"/>
      <c r="K116" s="79"/>
      <c r="L116" s="79"/>
      <c r="M116" s="79" t="str">
        <f>Table7281822432404856647280[[#This Row],[DBA]]&amp;" - "&amp;Table7281822432404856647280[[#This Row],[BIN]]&amp;" - "&amp;Table7281822432404856647280[[#This Row],[CAID]]</f>
        <v xml:space="preserve"> -  - </v>
      </c>
      <c r="N116" s="90"/>
    </row>
    <row r="117" spans="8:14" x14ac:dyDescent="0.25">
      <c r="H117" s="91"/>
      <c r="I117" s="91"/>
      <c r="J117" s="97"/>
      <c r="K117" s="79"/>
      <c r="L117" s="79"/>
      <c r="M117" s="79" t="str">
        <f>Table7281822432404856647280[[#This Row],[DBA]]&amp;" - "&amp;Table7281822432404856647280[[#This Row],[BIN]]&amp;" - "&amp;Table7281822432404856647280[[#This Row],[CAID]]</f>
        <v xml:space="preserve"> -  - </v>
      </c>
      <c r="N117" s="90"/>
    </row>
    <row r="118" spans="8:14" x14ac:dyDescent="0.25">
      <c r="H118" s="91"/>
      <c r="I118" s="91"/>
      <c r="J118" s="97"/>
      <c r="K118" s="79"/>
      <c r="L118" s="79"/>
      <c r="M118" s="79" t="str">
        <f>Table7281822432404856647280[[#This Row],[DBA]]&amp;" - "&amp;Table7281822432404856647280[[#This Row],[BIN]]&amp;" - "&amp;Table7281822432404856647280[[#This Row],[CAID]]</f>
        <v xml:space="preserve"> -  - </v>
      </c>
      <c r="N118" s="90"/>
    </row>
    <row r="119" spans="8:14" x14ac:dyDescent="0.25">
      <c r="H119" s="91"/>
      <c r="I119" s="91"/>
      <c r="J119" s="97"/>
      <c r="K119" s="79"/>
      <c r="L119" s="79"/>
      <c r="M119" s="79" t="str">
        <f>Table7281822432404856647280[[#This Row],[DBA]]&amp;" - "&amp;Table7281822432404856647280[[#This Row],[BIN]]&amp;" - "&amp;Table7281822432404856647280[[#This Row],[CAID]]</f>
        <v xml:space="preserve"> -  - </v>
      </c>
      <c r="N119" s="90"/>
    </row>
    <row r="120" spans="8:14" x14ac:dyDescent="0.25">
      <c r="H120" s="91"/>
      <c r="I120" s="91"/>
      <c r="J120" s="97"/>
      <c r="K120" s="79"/>
      <c r="L120" s="79"/>
      <c r="M120" s="79" t="str">
        <f>Table7281822432404856647280[[#This Row],[DBA]]&amp;" - "&amp;Table7281822432404856647280[[#This Row],[BIN]]&amp;" - "&amp;Table7281822432404856647280[[#This Row],[CAID]]</f>
        <v xml:space="preserve"> -  - </v>
      </c>
      <c r="N120" s="90"/>
    </row>
    <row r="121" spans="8:14" x14ac:dyDescent="0.25">
      <c r="H121" s="91"/>
      <c r="I121" s="91"/>
      <c r="J121" s="97"/>
      <c r="K121" s="79"/>
      <c r="L121" s="79"/>
      <c r="M121" s="79" t="str">
        <f>Table7281822432404856647280[[#This Row],[DBA]]&amp;" - "&amp;Table7281822432404856647280[[#This Row],[BIN]]&amp;" - "&amp;Table7281822432404856647280[[#This Row],[CAID]]</f>
        <v xml:space="preserve"> -  - </v>
      </c>
      <c r="N121" s="90"/>
    </row>
    <row r="122" spans="8:14" x14ac:dyDescent="0.25">
      <c r="H122" s="91"/>
      <c r="I122" s="91"/>
      <c r="J122" s="97"/>
      <c r="K122" s="79"/>
      <c r="L122" s="79"/>
      <c r="M122" s="79" t="str">
        <f>Table7281822432404856647280[[#This Row],[DBA]]&amp;" - "&amp;Table7281822432404856647280[[#This Row],[BIN]]&amp;" - "&amp;Table7281822432404856647280[[#This Row],[CAID]]</f>
        <v xml:space="preserve"> -  - </v>
      </c>
      <c r="N122" s="90"/>
    </row>
    <row r="123" spans="8:14" x14ac:dyDescent="0.25">
      <c r="H123" s="91"/>
      <c r="I123" s="91"/>
      <c r="J123" s="97"/>
      <c r="K123" s="79"/>
      <c r="L123" s="79"/>
      <c r="M123" s="79" t="str">
        <f>Table7281822432404856647280[[#This Row],[DBA]]&amp;" - "&amp;Table7281822432404856647280[[#This Row],[BIN]]&amp;" - "&amp;Table7281822432404856647280[[#This Row],[CAID]]</f>
        <v xml:space="preserve"> -  - </v>
      </c>
      <c r="N123" s="90"/>
    </row>
    <row r="124" spans="8:14" x14ac:dyDescent="0.25">
      <c r="H124" s="91"/>
      <c r="I124" s="91"/>
      <c r="J124" s="97"/>
      <c r="K124" s="79"/>
      <c r="L124" s="79"/>
      <c r="M124" s="79" t="str">
        <f>Table7281822432404856647280[[#This Row],[DBA]]&amp;" - "&amp;Table7281822432404856647280[[#This Row],[BIN]]&amp;" - "&amp;Table7281822432404856647280[[#This Row],[CAID]]</f>
        <v xml:space="preserve"> -  - </v>
      </c>
      <c r="N124" s="90"/>
    </row>
    <row r="125" spans="8:14" x14ac:dyDescent="0.25">
      <c r="H125" s="91"/>
      <c r="I125" s="91"/>
      <c r="J125" s="97"/>
      <c r="K125" s="79"/>
      <c r="L125" s="79"/>
      <c r="M125" s="79" t="str">
        <f>Table7281822432404856647280[[#This Row],[DBA]]&amp;" - "&amp;Table7281822432404856647280[[#This Row],[BIN]]&amp;" - "&amp;Table7281822432404856647280[[#This Row],[CAID]]</f>
        <v xml:space="preserve"> -  - </v>
      </c>
      <c r="N125" s="90"/>
    </row>
    <row r="126" spans="8:14" x14ac:dyDescent="0.25">
      <c r="H126" s="91"/>
      <c r="I126" s="91"/>
      <c r="J126" s="97"/>
      <c r="K126" s="79"/>
      <c r="L126" s="79"/>
      <c r="M126" s="79" t="str">
        <f>Table7281822432404856647280[[#This Row],[DBA]]&amp;" - "&amp;Table7281822432404856647280[[#This Row],[BIN]]&amp;" - "&amp;Table7281822432404856647280[[#This Row],[CAID]]</f>
        <v xml:space="preserve"> -  - </v>
      </c>
      <c r="N126" s="90"/>
    </row>
    <row r="127" spans="8:14" x14ac:dyDescent="0.25">
      <c r="H127" s="91"/>
      <c r="I127" s="91"/>
      <c r="J127" s="97"/>
      <c r="K127" s="79"/>
      <c r="L127" s="79"/>
      <c r="M127" s="79" t="str">
        <f>Table7281822432404856647280[[#This Row],[DBA]]&amp;" - "&amp;Table7281822432404856647280[[#This Row],[BIN]]&amp;" - "&amp;Table7281822432404856647280[[#This Row],[CAID]]</f>
        <v xml:space="preserve"> -  - </v>
      </c>
      <c r="N127" s="90"/>
    </row>
    <row r="128" spans="8:14" x14ac:dyDescent="0.25">
      <c r="H128" s="91"/>
      <c r="I128" s="91"/>
      <c r="J128" s="97"/>
      <c r="K128" s="79"/>
      <c r="L128" s="79"/>
      <c r="M128" s="79" t="str">
        <f>Table7281822432404856647280[[#This Row],[DBA]]&amp;" - "&amp;Table7281822432404856647280[[#This Row],[BIN]]&amp;" - "&amp;Table7281822432404856647280[[#This Row],[CAID]]</f>
        <v xml:space="preserve"> -  - </v>
      </c>
      <c r="N128" s="90"/>
    </row>
    <row r="129" spans="8:14" x14ac:dyDescent="0.25">
      <c r="H129" s="91"/>
      <c r="I129" s="91"/>
      <c r="J129" s="97"/>
      <c r="K129" s="79"/>
      <c r="L129" s="79"/>
      <c r="M129" s="79" t="str">
        <f>Table7281822432404856647280[[#This Row],[DBA]]&amp;" - "&amp;Table7281822432404856647280[[#This Row],[BIN]]&amp;" - "&amp;Table7281822432404856647280[[#This Row],[CAID]]</f>
        <v xml:space="preserve"> -  - </v>
      </c>
      <c r="N129" s="90"/>
    </row>
    <row r="130" spans="8:14" x14ac:dyDescent="0.25">
      <c r="H130" s="91"/>
      <c r="I130" s="91"/>
      <c r="J130" s="97"/>
      <c r="K130" s="79"/>
      <c r="L130" s="79"/>
      <c r="M130" s="79" t="str">
        <f>Table7281822432404856647280[[#This Row],[DBA]]&amp;" - "&amp;Table7281822432404856647280[[#This Row],[BIN]]&amp;" - "&amp;Table7281822432404856647280[[#This Row],[CAID]]</f>
        <v xml:space="preserve"> -  - </v>
      </c>
      <c r="N130" s="90"/>
    </row>
    <row r="131" spans="8:14" x14ac:dyDescent="0.25">
      <c r="H131" s="91"/>
      <c r="I131" s="91"/>
      <c r="J131" s="97"/>
      <c r="K131" s="79"/>
      <c r="L131" s="79"/>
      <c r="M131" s="79" t="str">
        <f>Table7281822432404856647280[[#This Row],[DBA]]&amp;" - "&amp;Table7281822432404856647280[[#This Row],[BIN]]&amp;" - "&amp;Table7281822432404856647280[[#This Row],[CAID]]</f>
        <v xml:space="preserve"> -  - </v>
      </c>
      <c r="N131" s="90"/>
    </row>
    <row r="132" spans="8:14" x14ac:dyDescent="0.25">
      <c r="H132" s="91"/>
      <c r="I132" s="91"/>
      <c r="J132" s="97"/>
      <c r="K132" s="79"/>
      <c r="L132" s="79"/>
      <c r="M132" s="79" t="str">
        <f>Table7281822432404856647280[[#This Row],[DBA]]&amp;" - "&amp;Table7281822432404856647280[[#This Row],[BIN]]&amp;" - "&amp;Table7281822432404856647280[[#This Row],[CAID]]</f>
        <v xml:space="preserve"> -  - </v>
      </c>
      <c r="N132" s="90"/>
    </row>
    <row r="133" spans="8:14" x14ac:dyDescent="0.25">
      <c r="H133" s="91"/>
      <c r="I133" s="91"/>
      <c r="J133" s="97"/>
      <c r="K133" s="79"/>
      <c r="L133" s="79"/>
      <c r="M133" s="79" t="str">
        <f>Table7281822432404856647280[[#This Row],[DBA]]&amp;" - "&amp;Table7281822432404856647280[[#This Row],[BIN]]&amp;" - "&amp;Table7281822432404856647280[[#This Row],[CAID]]</f>
        <v xml:space="preserve"> -  - </v>
      </c>
      <c r="N133" s="90"/>
    </row>
    <row r="134" spans="8:14" x14ac:dyDescent="0.25">
      <c r="H134" s="91"/>
      <c r="I134" s="91"/>
      <c r="J134" s="97"/>
      <c r="K134" s="79"/>
      <c r="L134" s="79"/>
      <c r="M134" s="79" t="str">
        <f>Table7281822432404856647280[[#This Row],[DBA]]&amp;" - "&amp;Table7281822432404856647280[[#This Row],[BIN]]&amp;" - "&amp;Table7281822432404856647280[[#This Row],[CAID]]</f>
        <v xml:space="preserve"> -  - </v>
      </c>
      <c r="N134" s="90"/>
    </row>
    <row r="135" spans="8:14" x14ac:dyDescent="0.25">
      <c r="H135" s="91"/>
      <c r="I135" s="91"/>
      <c r="J135" s="97"/>
      <c r="K135" s="79"/>
      <c r="L135" s="79"/>
      <c r="M135" s="79" t="str">
        <f>Table7281822432404856647280[[#This Row],[DBA]]&amp;" - "&amp;Table7281822432404856647280[[#This Row],[BIN]]&amp;" - "&amp;Table7281822432404856647280[[#This Row],[CAID]]</f>
        <v xml:space="preserve"> -  - </v>
      </c>
      <c r="N135" s="90"/>
    </row>
    <row r="136" spans="8:14" x14ac:dyDescent="0.25">
      <c r="H136" s="91"/>
      <c r="I136" s="91"/>
      <c r="J136" s="97"/>
      <c r="K136" s="79"/>
      <c r="L136" s="79"/>
      <c r="M136" s="79" t="str">
        <f>Table7281822432404856647280[[#This Row],[DBA]]&amp;" - "&amp;Table7281822432404856647280[[#This Row],[BIN]]&amp;" - "&amp;Table7281822432404856647280[[#This Row],[CAID]]</f>
        <v xml:space="preserve"> -  - </v>
      </c>
      <c r="N136" s="90"/>
    </row>
    <row r="137" spans="8:14" x14ac:dyDescent="0.25">
      <c r="H137" s="91"/>
      <c r="I137" s="91"/>
      <c r="J137" s="97"/>
      <c r="K137" s="79"/>
      <c r="L137" s="79"/>
      <c r="M137" s="79" t="str">
        <f>Table7281822432404856647280[[#This Row],[DBA]]&amp;" - "&amp;Table7281822432404856647280[[#This Row],[BIN]]&amp;" - "&amp;Table7281822432404856647280[[#This Row],[CAID]]</f>
        <v xml:space="preserve"> -  - </v>
      </c>
      <c r="N137" s="90"/>
    </row>
    <row r="138" spans="8:14" x14ac:dyDescent="0.25">
      <c r="H138" s="91"/>
      <c r="I138" s="91"/>
      <c r="J138" s="97"/>
      <c r="K138" s="79"/>
      <c r="L138" s="79"/>
      <c r="M138" s="79" t="str">
        <f>Table7281822432404856647280[[#This Row],[DBA]]&amp;" - "&amp;Table7281822432404856647280[[#This Row],[BIN]]&amp;" - "&amp;Table7281822432404856647280[[#This Row],[CAID]]</f>
        <v xml:space="preserve"> -  - </v>
      </c>
      <c r="N138" s="90"/>
    </row>
    <row r="139" spans="8:14" x14ac:dyDescent="0.25">
      <c r="H139" s="91"/>
      <c r="I139" s="91"/>
      <c r="J139" s="97"/>
      <c r="K139" s="79"/>
      <c r="L139" s="79"/>
      <c r="M139" s="79" t="str">
        <f>Table7281822432404856647280[[#This Row],[DBA]]&amp;" - "&amp;Table7281822432404856647280[[#This Row],[BIN]]&amp;" - "&amp;Table7281822432404856647280[[#This Row],[CAID]]</f>
        <v xml:space="preserve"> -  - </v>
      </c>
      <c r="N139" s="90"/>
    </row>
    <row r="140" spans="8:14" x14ac:dyDescent="0.25">
      <c r="H140" s="91"/>
      <c r="I140" s="91"/>
      <c r="J140" s="97"/>
      <c r="K140" s="79"/>
      <c r="L140" s="79"/>
      <c r="M140" s="79" t="str">
        <f>Table7281822432404856647280[[#This Row],[DBA]]&amp;" - "&amp;Table7281822432404856647280[[#This Row],[BIN]]&amp;" - "&amp;Table7281822432404856647280[[#This Row],[CAID]]</f>
        <v xml:space="preserve"> -  - </v>
      </c>
      <c r="N140" s="90"/>
    </row>
    <row r="141" spans="8:14" x14ac:dyDescent="0.25">
      <c r="H141" s="91"/>
      <c r="I141" s="91"/>
      <c r="J141" s="97"/>
      <c r="K141" s="79"/>
      <c r="L141" s="79"/>
      <c r="M141" s="79" t="str">
        <f>Table7281822432404856647280[[#This Row],[DBA]]&amp;" - "&amp;Table7281822432404856647280[[#This Row],[BIN]]&amp;" - "&amp;Table7281822432404856647280[[#This Row],[CAID]]</f>
        <v xml:space="preserve"> -  - </v>
      </c>
      <c r="N141" s="90"/>
    </row>
    <row r="142" spans="8:14" x14ac:dyDescent="0.25">
      <c r="H142" s="91"/>
      <c r="I142" s="91"/>
      <c r="J142" s="97"/>
      <c r="K142" s="79"/>
      <c r="L142" s="79"/>
      <c r="M142" s="79" t="str">
        <f>Table7281822432404856647280[[#This Row],[DBA]]&amp;" - "&amp;Table7281822432404856647280[[#This Row],[BIN]]&amp;" - "&amp;Table7281822432404856647280[[#This Row],[CAID]]</f>
        <v xml:space="preserve"> -  - </v>
      </c>
      <c r="N142" s="90"/>
    </row>
    <row r="143" spans="8:14" x14ac:dyDescent="0.25">
      <c r="H143" s="91"/>
      <c r="I143" s="91"/>
      <c r="J143" s="97"/>
      <c r="K143" s="79"/>
      <c r="L143" s="79"/>
      <c r="M143" s="79" t="str">
        <f>Table7281822432404856647280[[#This Row],[DBA]]&amp;" - "&amp;Table7281822432404856647280[[#This Row],[BIN]]&amp;" - "&amp;Table7281822432404856647280[[#This Row],[CAID]]</f>
        <v xml:space="preserve"> -  - </v>
      </c>
      <c r="N143" s="90"/>
    </row>
    <row r="144" spans="8:14" x14ac:dyDescent="0.25">
      <c r="H144" s="91"/>
      <c r="I144" s="91"/>
      <c r="J144" s="97"/>
      <c r="K144" s="79"/>
      <c r="L144" s="79"/>
      <c r="M144" s="79" t="str">
        <f>Table7281822432404856647280[[#This Row],[DBA]]&amp;" - "&amp;Table7281822432404856647280[[#This Row],[BIN]]&amp;" - "&amp;Table7281822432404856647280[[#This Row],[CAID]]</f>
        <v xml:space="preserve"> -  - </v>
      </c>
      <c r="N144" s="90"/>
    </row>
    <row r="145" spans="8:14" x14ac:dyDescent="0.25">
      <c r="H145" s="91"/>
      <c r="I145" s="91"/>
      <c r="J145" s="97"/>
      <c r="K145" s="79"/>
      <c r="L145" s="79"/>
      <c r="M145" s="79" t="str">
        <f>Table7281822432404856647280[[#This Row],[DBA]]&amp;" - "&amp;Table7281822432404856647280[[#This Row],[BIN]]&amp;" - "&amp;Table7281822432404856647280[[#This Row],[CAID]]</f>
        <v xml:space="preserve"> -  - </v>
      </c>
      <c r="N145" s="90"/>
    </row>
    <row r="146" spans="8:14" x14ac:dyDescent="0.25">
      <c r="H146" s="91"/>
      <c r="I146" s="91"/>
      <c r="J146" s="97"/>
      <c r="K146" s="79"/>
      <c r="L146" s="79"/>
      <c r="M146" s="79" t="str">
        <f>Table7281822432404856647280[[#This Row],[DBA]]&amp;" - "&amp;Table7281822432404856647280[[#This Row],[BIN]]&amp;" - "&amp;Table7281822432404856647280[[#This Row],[CAID]]</f>
        <v xml:space="preserve"> -  - </v>
      </c>
      <c r="N146" s="90"/>
    </row>
    <row r="147" spans="8:14" x14ac:dyDescent="0.25">
      <c r="H147" s="91"/>
      <c r="I147" s="91"/>
      <c r="J147" s="97"/>
      <c r="K147" s="79"/>
      <c r="L147" s="79"/>
      <c r="M147" s="79" t="str">
        <f>Table7281822432404856647280[[#This Row],[DBA]]&amp;" - "&amp;Table7281822432404856647280[[#This Row],[BIN]]&amp;" - "&amp;Table7281822432404856647280[[#This Row],[CAID]]</f>
        <v xml:space="preserve"> -  - </v>
      </c>
      <c r="N147" s="90"/>
    </row>
    <row r="148" spans="8:14" x14ac:dyDescent="0.25">
      <c r="H148" s="91"/>
      <c r="I148" s="91"/>
      <c r="J148" s="97"/>
      <c r="K148" s="79"/>
      <c r="L148" s="79"/>
      <c r="M148" s="79" t="str">
        <f>Table7281822432404856647280[[#This Row],[DBA]]&amp;" - "&amp;Table7281822432404856647280[[#This Row],[BIN]]&amp;" - "&amp;Table7281822432404856647280[[#This Row],[CAID]]</f>
        <v xml:space="preserve"> -  - </v>
      </c>
      <c r="N148" s="90"/>
    </row>
    <row r="149" spans="8:14" x14ac:dyDescent="0.25">
      <c r="H149" s="91"/>
      <c r="I149" s="91"/>
      <c r="J149" s="97"/>
      <c r="K149" s="79"/>
      <c r="L149" s="79"/>
      <c r="M149" s="79" t="str">
        <f>Table7281822432404856647280[[#This Row],[DBA]]&amp;" - "&amp;Table7281822432404856647280[[#This Row],[BIN]]&amp;" - "&amp;Table7281822432404856647280[[#This Row],[CAID]]</f>
        <v xml:space="preserve"> -  - </v>
      </c>
      <c r="N149" s="90"/>
    </row>
    <row r="150" spans="8:14" x14ac:dyDescent="0.25">
      <c r="H150" s="91"/>
      <c r="I150" s="91"/>
      <c r="J150" s="97"/>
      <c r="K150" s="79"/>
      <c r="L150" s="79"/>
      <c r="M150" s="79" t="str">
        <f>Table7281822432404856647280[[#This Row],[DBA]]&amp;" - "&amp;Table7281822432404856647280[[#This Row],[BIN]]&amp;" - "&amp;Table7281822432404856647280[[#This Row],[CAID]]</f>
        <v xml:space="preserve"> -  - </v>
      </c>
      <c r="N150" s="90"/>
    </row>
    <row r="151" spans="8:14" x14ac:dyDescent="0.25">
      <c r="H151" s="91"/>
      <c r="I151" s="91"/>
      <c r="J151" s="97"/>
      <c r="K151" s="79"/>
      <c r="L151" s="79"/>
      <c r="M151" s="79" t="str">
        <f>Table7281822432404856647280[[#This Row],[DBA]]&amp;" - "&amp;Table7281822432404856647280[[#This Row],[BIN]]&amp;" - "&amp;Table7281822432404856647280[[#This Row],[CAID]]</f>
        <v xml:space="preserve"> -  - </v>
      </c>
      <c r="N151" s="90"/>
    </row>
    <row r="152" spans="8:14" x14ac:dyDescent="0.25">
      <c r="H152" s="91"/>
      <c r="I152" s="91"/>
      <c r="J152" s="97"/>
      <c r="K152" s="79"/>
      <c r="L152" s="79"/>
      <c r="M152" s="79" t="str">
        <f>Table7281822432404856647280[[#This Row],[DBA]]&amp;" - "&amp;Table7281822432404856647280[[#This Row],[BIN]]&amp;" - "&amp;Table7281822432404856647280[[#This Row],[CAID]]</f>
        <v xml:space="preserve"> -  - </v>
      </c>
      <c r="N152" s="90"/>
    </row>
    <row r="153" spans="8:14" x14ac:dyDescent="0.25">
      <c r="H153" s="91"/>
      <c r="I153" s="91"/>
      <c r="J153" s="97"/>
      <c r="K153" s="79"/>
      <c r="L153" s="79"/>
      <c r="M153" s="79" t="str">
        <f>Table7281822432404856647280[[#This Row],[DBA]]&amp;" - "&amp;Table7281822432404856647280[[#This Row],[BIN]]&amp;" - "&amp;Table7281822432404856647280[[#This Row],[CAID]]</f>
        <v xml:space="preserve"> -  - </v>
      </c>
      <c r="N153" s="90"/>
    </row>
    <row r="154" spans="8:14" x14ac:dyDescent="0.25">
      <c r="H154" s="91"/>
      <c r="I154" s="91"/>
      <c r="J154" s="97"/>
      <c r="K154" s="79"/>
      <c r="L154" s="79"/>
      <c r="M154" s="79" t="str">
        <f>Table7281822432404856647280[[#This Row],[DBA]]&amp;" - "&amp;Table7281822432404856647280[[#This Row],[BIN]]&amp;" - "&amp;Table7281822432404856647280[[#This Row],[CAID]]</f>
        <v xml:space="preserve"> -  - </v>
      </c>
      <c r="N154" s="90"/>
    </row>
    <row r="155" spans="8:14" x14ac:dyDescent="0.25">
      <c r="H155" s="91"/>
      <c r="I155" s="91"/>
      <c r="J155" s="97"/>
      <c r="K155" s="79"/>
      <c r="L155" s="79"/>
      <c r="M155" s="79" t="str">
        <f>Table7281822432404856647280[[#This Row],[DBA]]&amp;" - "&amp;Table7281822432404856647280[[#This Row],[BIN]]&amp;" - "&amp;Table7281822432404856647280[[#This Row],[CAID]]</f>
        <v xml:space="preserve"> -  - </v>
      </c>
      <c r="N155" s="90"/>
    </row>
    <row r="156" spans="8:14" x14ac:dyDescent="0.25">
      <c r="H156" s="91"/>
      <c r="I156" s="91"/>
      <c r="J156" s="97"/>
      <c r="K156" s="79"/>
      <c r="L156" s="79"/>
      <c r="M156" s="79" t="str">
        <f>Table7281822432404856647280[[#This Row],[DBA]]&amp;" - "&amp;Table7281822432404856647280[[#This Row],[BIN]]&amp;" - "&amp;Table7281822432404856647280[[#This Row],[CAID]]</f>
        <v xml:space="preserve"> -  - </v>
      </c>
      <c r="N156" s="90"/>
    </row>
    <row r="157" spans="8:14" x14ac:dyDescent="0.25">
      <c r="H157" s="91"/>
      <c r="I157" s="91"/>
      <c r="J157" s="97"/>
      <c r="K157" s="79"/>
      <c r="L157" s="79"/>
      <c r="M157" s="79" t="str">
        <f>Table7281822432404856647280[[#This Row],[DBA]]&amp;" - "&amp;Table7281822432404856647280[[#This Row],[BIN]]&amp;" - "&amp;Table7281822432404856647280[[#This Row],[CAID]]</f>
        <v xml:space="preserve"> -  - </v>
      </c>
      <c r="N157" s="90"/>
    </row>
    <row r="158" spans="8:14" x14ac:dyDescent="0.25">
      <c r="H158" s="91"/>
      <c r="I158" s="91"/>
      <c r="J158" s="97"/>
      <c r="K158" s="79"/>
      <c r="L158" s="79"/>
      <c r="M158" s="79" t="str">
        <f>Table7281822432404856647280[[#This Row],[DBA]]&amp;" - "&amp;Table7281822432404856647280[[#This Row],[BIN]]&amp;" - "&amp;Table7281822432404856647280[[#This Row],[CAID]]</f>
        <v xml:space="preserve"> -  - </v>
      </c>
      <c r="N158" s="90"/>
    </row>
    <row r="159" spans="8:14" x14ac:dyDescent="0.25">
      <c r="H159" s="91"/>
      <c r="I159" s="91"/>
      <c r="J159" s="97"/>
      <c r="K159" s="79"/>
      <c r="L159" s="79"/>
      <c r="M159" s="79" t="str">
        <f>Table7281822432404856647280[[#This Row],[DBA]]&amp;" - "&amp;Table7281822432404856647280[[#This Row],[BIN]]&amp;" - "&amp;Table7281822432404856647280[[#This Row],[CAID]]</f>
        <v xml:space="preserve"> -  - </v>
      </c>
      <c r="N159" s="90"/>
    </row>
    <row r="160" spans="8:14" x14ac:dyDescent="0.25">
      <c r="H160" s="91"/>
      <c r="I160" s="91"/>
      <c r="J160" s="97"/>
      <c r="K160" s="79"/>
      <c r="L160" s="79"/>
      <c r="M160" s="79" t="str">
        <f>Table7281822432404856647280[[#This Row],[DBA]]&amp;" - "&amp;Table7281822432404856647280[[#This Row],[BIN]]&amp;" - "&amp;Table7281822432404856647280[[#This Row],[CAID]]</f>
        <v xml:space="preserve"> -  - </v>
      </c>
      <c r="N160" s="90"/>
    </row>
    <row r="161" spans="8:14" x14ac:dyDescent="0.25">
      <c r="H161" s="91"/>
      <c r="I161" s="91"/>
      <c r="J161" s="97"/>
      <c r="K161" s="79"/>
      <c r="L161" s="79"/>
      <c r="M161" s="79" t="str">
        <f>Table7281822432404856647280[[#This Row],[DBA]]&amp;" - "&amp;Table7281822432404856647280[[#This Row],[BIN]]&amp;" - "&amp;Table7281822432404856647280[[#This Row],[CAID]]</f>
        <v xml:space="preserve"> -  - </v>
      </c>
      <c r="N161" s="90"/>
    </row>
    <row r="162" spans="8:14" x14ac:dyDescent="0.25">
      <c r="H162" s="91"/>
      <c r="I162" s="91"/>
      <c r="J162" s="97"/>
      <c r="K162" s="79"/>
      <c r="L162" s="79"/>
      <c r="M162" s="79" t="str">
        <f>Table7281822432404856647280[[#This Row],[DBA]]&amp;" - "&amp;Table7281822432404856647280[[#This Row],[BIN]]&amp;" - "&amp;Table7281822432404856647280[[#This Row],[CAID]]</f>
        <v xml:space="preserve"> -  - </v>
      </c>
      <c r="N162" s="90"/>
    </row>
    <row r="163" spans="8:14" x14ac:dyDescent="0.25">
      <c r="H163" s="91"/>
      <c r="I163" s="91"/>
      <c r="J163" s="97"/>
      <c r="K163" s="79"/>
      <c r="L163" s="79"/>
      <c r="M163" s="79" t="str">
        <f>Table7281822432404856647280[[#This Row],[DBA]]&amp;" - "&amp;Table7281822432404856647280[[#This Row],[BIN]]&amp;" - "&amp;Table7281822432404856647280[[#This Row],[CAID]]</f>
        <v xml:space="preserve"> -  - </v>
      </c>
      <c r="N163" s="90"/>
    </row>
    <row r="164" spans="8:14" x14ac:dyDescent="0.25">
      <c r="H164" s="91"/>
      <c r="I164" s="91"/>
      <c r="J164" s="97"/>
      <c r="K164" s="79"/>
      <c r="L164" s="79"/>
      <c r="M164" s="79" t="str">
        <f>Table7281822432404856647280[[#This Row],[DBA]]&amp;" - "&amp;Table7281822432404856647280[[#This Row],[BIN]]&amp;" - "&amp;Table7281822432404856647280[[#This Row],[CAID]]</f>
        <v xml:space="preserve"> -  - </v>
      </c>
      <c r="N164" s="90"/>
    </row>
    <row r="165" spans="8:14" x14ac:dyDescent="0.25">
      <c r="H165" s="91"/>
      <c r="I165" s="91"/>
      <c r="J165" s="97"/>
      <c r="K165" s="79"/>
      <c r="L165" s="79"/>
      <c r="M165" s="79" t="str">
        <f>Table7281822432404856647280[[#This Row],[DBA]]&amp;" - "&amp;Table7281822432404856647280[[#This Row],[BIN]]&amp;" - "&amp;Table7281822432404856647280[[#This Row],[CAID]]</f>
        <v xml:space="preserve"> -  - </v>
      </c>
      <c r="N165" s="90"/>
    </row>
    <row r="166" spans="8:14" x14ac:dyDescent="0.25">
      <c r="H166" s="91"/>
      <c r="I166" s="91"/>
      <c r="J166" s="97"/>
      <c r="K166" s="79"/>
      <c r="L166" s="79"/>
      <c r="M166" s="79" t="str">
        <f>Table7281822432404856647280[[#This Row],[DBA]]&amp;" - "&amp;Table7281822432404856647280[[#This Row],[BIN]]&amp;" - "&amp;Table7281822432404856647280[[#This Row],[CAID]]</f>
        <v xml:space="preserve"> -  - </v>
      </c>
      <c r="N166" s="90"/>
    </row>
    <row r="167" spans="8:14" x14ac:dyDescent="0.25">
      <c r="H167" s="91"/>
      <c r="I167" s="91"/>
      <c r="J167" s="97"/>
      <c r="K167" s="79"/>
      <c r="L167" s="79"/>
      <c r="M167" s="79" t="str">
        <f>Table7281822432404856647280[[#This Row],[DBA]]&amp;" - "&amp;Table7281822432404856647280[[#This Row],[BIN]]&amp;" - "&amp;Table7281822432404856647280[[#This Row],[CAID]]</f>
        <v xml:space="preserve"> -  - </v>
      </c>
      <c r="N167" s="90"/>
    </row>
    <row r="168" spans="8:14" x14ac:dyDescent="0.25">
      <c r="H168" s="91"/>
      <c r="I168" s="91"/>
      <c r="J168" s="97"/>
      <c r="K168" s="79"/>
      <c r="L168" s="79"/>
      <c r="M168" s="79" t="str">
        <f>Table7281822432404856647280[[#This Row],[DBA]]&amp;" - "&amp;Table7281822432404856647280[[#This Row],[BIN]]&amp;" - "&amp;Table7281822432404856647280[[#This Row],[CAID]]</f>
        <v xml:space="preserve"> -  - </v>
      </c>
      <c r="N168" s="90"/>
    </row>
    <row r="169" spans="8:14" x14ac:dyDescent="0.25">
      <c r="H169" s="91"/>
      <c r="I169" s="91"/>
      <c r="J169" s="97"/>
      <c r="K169" s="79"/>
      <c r="L169" s="79"/>
      <c r="M169" s="79" t="str">
        <f>Table7281822432404856647280[[#This Row],[DBA]]&amp;" - "&amp;Table7281822432404856647280[[#This Row],[BIN]]&amp;" - "&amp;Table7281822432404856647280[[#This Row],[CAID]]</f>
        <v xml:space="preserve"> -  - </v>
      </c>
      <c r="N169" s="90"/>
    </row>
    <row r="170" spans="8:14" x14ac:dyDescent="0.25">
      <c r="H170" s="91"/>
      <c r="I170" s="91"/>
      <c r="J170" s="97"/>
      <c r="K170" s="79"/>
      <c r="L170" s="79"/>
      <c r="M170" s="79" t="str">
        <f>Table7281822432404856647280[[#This Row],[DBA]]&amp;" - "&amp;Table7281822432404856647280[[#This Row],[BIN]]&amp;" - "&amp;Table7281822432404856647280[[#This Row],[CAID]]</f>
        <v xml:space="preserve"> -  - </v>
      </c>
      <c r="N170" s="90"/>
    </row>
    <row r="171" spans="8:14" x14ac:dyDescent="0.25">
      <c r="H171" s="91"/>
      <c r="I171" s="91"/>
      <c r="J171" s="97"/>
      <c r="K171" s="79"/>
      <c r="L171" s="79"/>
      <c r="M171" s="79" t="str">
        <f>Table7281822432404856647280[[#This Row],[DBA]]&amp;" - "&amp;Table7281822432404856647280[[#This Row],[BIN]]&amp;" - "&amp;Table7281822432404856647280[[#This Row],[CAID]]</f>
        <v xml:space="preserve"> -  - </v>
      </c>
      <c r="N171" s="90"/>
    </row>
    <row r="172" spans="8:14" x14ac:dyDescent="0.25">
      <c r="H172" s="91"/>
      <c r="I172" s="91"/>
      <c r="J172" s="97"/>
      <c r="K172" s="79"/>
      <c r="L172" s="79"/>
      <c r="M172" s="79" t="str">
        <f>Table7281822432404856647280[[#This Row],[DBA]]&amp;" - "&amp;Table7281822432404856647280[[#This Row],[BIN]]&amp;" - "&amp;Table7281822432404856647280[[#This Row],[CAID]]</f>
        <v xml:space="preserve"> -  - </v>
      </c>
      <c r="N172" s="90"/>
    </row>
    <row r="173" spans="8:14" x14ac:dyDescent="0.25">
      <c r="H173" s="91"/>
      <c r="I173" s="91"/>
      <c r="J173" s="97"/>
      <c r="K173" s="79"/>
      <c r="L173" s="79"/>
      <c r="M173" s="79" t="str">
        <f>Table7281822432404856647280[[#This Row],[DBA]]&amp;" - "&amp;Table7281822432404856647280[[#This Row],[BIN]]&amp;" - "&amp;Table7281822432404856647280[[#This Row],[CAID]]</f>
        <v xml:space="preserve"> -  - </v>
      </c>
      <c r="N173" s="90"/>
    </row>
    <row r="174" spans="8:14" x14ac:dyDescent="0.25">
      <c r="H174" s="91"/>
      <c r="I174" s="91"/>
      <c r="J174" s="97"/>
      <c r="K174" s="79"/>
      <c r="L174" s="79"/>
      <c r="M174" s="79" t="str">
        <f>Table7281822432404856647280[[#This Row],[DBA]]&amp;" - "&amp;Table7281822432404856647280[[#This Row],[BIN]]&amp;" - "&amp;Table7281822432404856647280[[#This Row],[CAID]]</f>
        <v xml:space="preserve"> -  - </v>
      </c>
      <c r="N174" s="90"/>
    </row>
    <row r="175" spans="8:14" x14ac:dyDescent="0.25">
      <c r="H175" s="91"/>
      <c r="I175" s="91"/>
      <c r="J175" s="97"/>
      <c r="K175" s="79"/>
      <c r="L175" s="79"/>
      <c r="M175" s="79" t="str">
        <f>Table7281822432404856647280[[#This Row],[DBA]]&amp;" - "&amp;Table7281822432404856647280[[#This Row],[BIN]]&amp;" - "&amp;Table7281822432404856647280[[#This Row],[CAID]]</f>
        <v xml:space="preserve"> -  - </v>
      </c>
      <c r="N175" s="90"/>
    </row>
    <row r="176" spans="8:14" x14ac:dyDescent="0.25">
      <c r="H176" s="91"/>
      <c r="I176" s="91"/>
      <c r="J176" s="97"/>
      <c r="K176" s="79"/>
      <c r="L176" s="79"/>
      <c r="M176" s="79" t="str">
        <f>Table7281822432404856647280[[#This Row],[DBA]]&amp;" - "&amp;Table7281822432404856647280[[#This Row],[BIN]]&amp;" - "&amp;Table7281822432404856647280[[#This Row],[CAID]]</f>
        <v xml:space="preserve"> -  - </v>
      </c>
      <c r="N176" s="90"/>
    </row>
    <row r="177" spans="8:14" x14ac:dyDescent="0.25">
      <c r="H177" s="91"/>
      <c r="I177" s="91"/>
      <c r="J177" s="97"/>
      <c r="K177" s="79"/>
      <c r="L177" s="79"/>
      <c r="M177" s="79" t="str">
        <f>Table7281822432404856647280[[#This Row],[DBA]]&amp;" - "&amp;Table7281822432404856647280[[#This Row],[BIN]]&amp;" - "&amp;Table7281822432404856647280[[#This Row],[CAID]]</f>
        <v xml:space="preserve"> -  - </v>
      </c>
      <c r="N177" s="90"/>
    </row>
    <row r="178" spans="8:14" x14ac:dyDescent="0.25">
      <c r="H178" s="91"/>
      <c r="I178" s="91"/>
      <c r="J178" s="97"/>
      <c r="K178" s="79"/>
      <c r="L178" s="79"/>
      <c r="M178" s="79" t="str">
        <f>Table7281822432404856647280[[#This Row],[DBA]]&amp;" - "&amp;Table7281822432404856647280[[#This Row],[BIN]]&amp;" - "&amp;Table7281822432404856647280[[#This Row],[CAID]]</f>
        <v xml:space="preserve"> -  - </v>
      </c>
      <c r="N178" s="90"/>
    </row>
    <row r="179" spans="8:14" x14ac:dyDescent="0.25">
      <c r="H179" s="91"/>
      <c r="I179" s="91"/>
      <c r="J179" s="97"/>
      <c r="K179" s="79"/>
      <c r="L179" s="79"/>
      <c r="M179" s="79" t="str">
        <f>Table7281822432404856647280[[#This Row],[DBA]]&amp;" - "&amp;Table7281822432404856647280[[#This Row],[BIN]]&amp;" - "&amp;Table7281822432404856647280[[#This Row],[CAID]]</f>
        <v xml:space="preserve"> -  - </v>
      </c>
      <c r="N179" s="90"/>
    </row>
    <row r="180" spans="8:14" x14ac:dyDescent="0.25">
      <c r="H180" s="91"/>
      <c r="I180" s="91"/>
      <c r="J180" s="97"/>
      <c r="K180" s="79"/>
      <c r="L180" s="79"/>
      <c r="M180" s="79" t="str">
        <f>Table7281822432404856647280[[#This Row],[DBA]]&amp;" - "&amp;Table7281822432404856647280[[#This Row],[BIN]]&amp;" - "&amp;Table7281822432404856647280[[#This Row],[CAID]]</f>
        <v xml:space="preserve"> -  - </v>
      </c>
      <c r="N180" s="90"/>
    </row>
    <row r="181" spans="8:14" x14ac:dyDescent="0.25">
      <c r="H181" s="91"/>
      <c r="I181" s="91"/>
      <c r="J181" s="97"/>
      <c r="K181" s="79"/>
      <c r="L181" s="79"/>
      <c r="M181" s="79" t="str">
        <f>Table7281822432404856647280[[#This Row],[DBA]]&amp;" - "&amp;Table7281822432404856647280[[#This Row],[BIN]]&amp;" - "&amp;Table7281822432404856647280[[#This Row],[CAID]]</f>
        <v xml:space="preserve"> -  - </v>
      </c>
      <c r="N181" s="90"/>
    </row>
    <row r="182" spans="8:14" x14ac:dyDescent="0.25">
      <c r="H182" s="91"/>
      <c r="I182" s="91"/>
      <c r="J182" s="97"/>
      <c r="K182" s="79"/>
      <c r="L182" s="79"/>
      <c r="M182" s="79" t="str">
        <f>Table7281822432404856647280[[#This Row],[DBA]]&amp;" - "&amp;Table7281822432404856647280[[#This Row],[BIN]]&amp;" - "&amp;Table7281822432404856647280[[#This Row],[CAID]]</f>
        <v xml:space="preserve"> -  - </v>
      </c>
      <c r="N182" s="90"/>
    </row>
    <row r="183" spans="8:14" x14ac:dyDescent="0.25">
      <c r="H183" s="91"/>
      <c r="I183" s="91"/>
      <c r="J183" s="97"/>
      <c r="K183" s="79"/>
      <c r="L183" s="79"/>
      <c r="M183" s="79" t="str">
        <f>Table7281822432404856647280[[#This Row],[DBA]]&amp;" - "&amp;Table7281822432404856647280[[#This Row],[BIN]]&amp;" - "&amp;Table7281822432404856647280[[#This Row],[CAID]]</f>
        <v xml:space="preserve"> -  - </v>
      </c>
      <c r="N183" s="90"/>
    </row>
    <row r="184" spans="8:14" x14ac:dyDescent="0.25">
      <c r="H184" s="91"/>
      <c r="I184" s="91"/>
      <c r="J184" s="97"/>
      <c r="K184" s="79"/>
      <c r="L184" s="79"/>
      <c r="M184" s="79" t="str">
        <f>Table7281822432404856647280[[#This Row],[DBA]]&amp;" - "&amp;Table7281822432404856647280[[#This Row],[BIN]]&amp;" - "&amp;Table7281822432404856647280[[#This Row],[CAID]]</f>
        <v xml:space="preserve"> -  - </v>
      </c>
      <c r="N184" s="90"/>
    </row>
    <row r="185" spans="8:14" x14ac:dyDescent="0.25">
      <c r="H185" s="91"/>
      <c r="I185" s="91"/>
      <c r="J185" s="97"/>
      <c r="K185" s="79"/>
      <c r="L185" s="79"/>
      <c r="M185" s="79" t="str">
        <f>Table7281822432404856647280[[#This Row],[DBA]]&amp;" - "&amp;Table7281822432404856647280[[#This Row],[BIN]]&amp;" - "&amp;Table7281822432404856647280[[#This Row],[CAID]]</f>
        <v xml:space="preserve"> -  - </v>
      </c>
      <c r="N185" s="90"/>
    </row>
    <row r="186" spans="8:14" x14ac:dyDescent="0.25">
      <c r="H186" s="91"/>
      <c r="I186" s="91"/>
      <c r="J186" s="97"/>
      <c r="K186" s="79"/>
      <c r="L186" s="79"/>
      <c r="M186" s="79" t="str">
        <f>Table7281822432404856647280[[#This Row],[DBA]]&amp;" - "&amp;Table7281822432404856647280[[#This Row],[BIN]]&amp;" - "&amp;Table7281822432404856647280[[#This Row],[CAID]]</f>
        <v xml:space="preserve"> -  - </v>
      </c>
      <c r="N186" s="90"/>
    </row>
    <row r="187" spans="8:14" x14ac:dyDescent="0.25">
      <c r="H187" s="91"/>
      <c r="I187" s="91"/>
      <c r="J187" s="97"/>
      <c r="K187" s="79"/>
      <c r="L187" s="79"/>
      <c r="M187" s="79" t="str">
        <f>Table7281822432404856647280[[#This Row],[DBA]]&amp;" - "&amp;Table7281822432404856647280[[#This Row],[BIN]]&amp;" - "&amp;Table7281822432404856647280[[#This Row],[CAID]]</f>
        <v xml:space="preserve"> -  - </v>
      </c>
      <c r="N187" s="90"/>
    </row>
    <row r="188" spans="8:14" x14ac:dyDescent="0.25">
      <c r="H188" s="91"/>
      <c r="I188" s="91"/>
      <c r="J188" s="97"/>
      <c r="K188" s="79"/>
      <c r="L188" s="79"/>
      <c r="M188" s="79" t="str">
        <f>Table7281822432404856647280[[#This Row],[DBA]]&amp;" - "&amp;Table7281822432404856647280[[#This Row],[BIN]]&amp;" - "&amp;Table7281822432404856647280[[#This Row],[CAID]]</f>
        <v xml:space="preserve"> -  - </v>
      </c>
      <c r="N188" s="90"/>
    </row>
    <row r="189" spans="8:14" x14ac:dyDescent="0.25">
      <c r="H189" s="91"/>
      <c r="I189" s="91"/>
      <c r="J189" s="97"/>
      <c r="K189" s="79"/>
      <c r="L189" s="79"/>
      <c r="M189" s="79" t="str">
        <f>Table7281822432404856647280[[#This Row],[DBA]]&amp;" - "&amp;Table7281822432404856647280[[#This Row],[BIN]]&amp;" - "&amp;Table7281822432404856647280[[#This Row],[CAID]]</f>
        <v xml:space="preserve"> -  - </v>
      </c>
      <c r="N189" s="90"/>
    </row>
    <row r="190" spans="8:14" x14ac:dyDescent="0.25">
      <c r="H190" s="91"/>
      <c r="I190" s="91"/>
      <c r="J190" s="97"/>
      <c r="K190" s="79"/>
      <c r="L190" s="79"/>
      <c r="M190" s="79" t="str">
        <f>Table7281822432404856647280[[#This Row],[DBA]]&amp;" - "&amp;Table7281822432404856647280[[#This Row],[BIN]]&amp;" - "&amp;Table7281822432404856647280[[#This Row],[CAID]]</f>
        <v xml:space="preserve"> -  - </v>
      </c>
      <c r="N190" s="90"/>
    </row>
    <row r="191" spans="8:14" x14ac:dyDescent="0.25">
      <c r="H191" s="91"/>
      <c r="I191" s="91"/>
      <c r="J191" s="97"/>
      <c r="K191" s="79"/>
      <c r="L191" s="79"/>
      <c r="M191" s="79" t="str">
        <f>Table7281822432404856647280[[#This Row],[DBA]]&amp;" - "&amp;Table7281822432404856647280[[#This Row],[BIN]]&amp;" - "&amp;Table7281822432404856647280[[#This Row],[CAID]]</f>
        <v xml:space="preserve"> -  - </v>
      </c>
      <c r="N191" s="90"/>
    </row>
    <row r="192" spans="8:14" x14ac:dyDescent="0.25">
      <c r="H192" s="91"/>
      <c r="I192" s="91"/>
      <c r="J192" s="97"/>
      <c r="K192" s="79"/>
      <c r="L192" s="79"/>
      <c r="M192" s="79" t="str">
        <f>Table7281822432404856647280[[#This Row],[DBA]]&amp;" - "&amp;Table7281822432404856647280[[#This Row],[BIN]]&amp;" - "&amp;Table7281822432404856647280[[#This Row],[CAID]]</f>
        <v xml:space="preserve"> -  - </v>
      </c>
      <c r="N192" s="90"/>
    </row>
    <row r="193" spans="8:14" x14ac:dyDescent="0.25">
      <c r="H193" s="91"/>
      <c r="I193" s="91"/>
      <c r="J193" s="97"/>
      <c r="K193" s="79"/>
      <c r="L193" s="79"/>
      <c r="M193" s="79" t="str">
        <f>Table7281822432404856647280[[#This Row],[DBA]]&amp;" - "&amp;Table7281822432404856647280[[#This Row],[BIN]]&amp;" - "&amp;Table7281822432404856647280[[#This Row],[CAID]]</f>
        <v xml:space="preserve"> -  - </v>
      </c>
      <c r="N193" s="90"/>
    </row>
    <row r="194" spans="8:14" x14ac:dyDescent="0.25">
      <c r="H194" s="91"/>
      <c r="I194" s="91"/>
      <c r="J194" s="97"/>
      <c r="K194" s="79"/>
      <c r="L194" s="79"/>
      <c r="M194" s="79" t="str">
        <f>Table7281822432404856647280[[#This Row],[DBA]]&amp;" - "&amp;Table7281822432404856647280[[#This Row],[BIN]]&amp;" - "&amp;Table7281822432404856647280[[#This Row],[CAID]]</f>
        <v xml:space="preserve"> -  - </v>
      </c>
      <c r="N194" s="90"/>
    </row>
    <row r="195" spans="8:14" x14ac:dyDescent="0.25">
      <c r="H195" s="91"/>
      <c r="I195" s="91"/>
      <c r="J195" s="97"/>
      <c r="K195" s="79"/>
      <c r="L195" s="79"/>
      <c r="M195" s="79" t="str">
        <f>Table7281822432404856647280[[#This Row],[DBA]]&amp;" - "&amp;Table7281822432404856647280[[#This Row],[BIN]]&amp;" - "&amp;Table7281822432404856647280[[#This Row],[CAID]]</f>
        <v xml:space="preserve"> -  - </v>
      </c>
      <c r="N195" s="90"/>
    </row>
    <row r="196" spans="8:14" x14ac:dyDescent="0.25">
      <c r="H196" s="91"/>
      <c r="I196" s="91"/>
      <c r="J196" s="97"/>
      <c r="K196" s="79"/>
      <c r="L196" s="79"/>
      <c r="M196" s="79" t="str">
        <f>Table7281822432404856647280[[#This Row],[DBA]]&amp;" - "&amp;Table7281822432404856647280[[#This Row],[BIN]]&amp;" - "&amp;Table7281822432404856647280[[#This Row],[CAID]]</f>
        <v xml:space="preserve"> -  - </v>
      </c>
      <c r="N196" s="90"/>
    </row>
    <row r="197" spans="8:14" x14ac:dyDescent="0.25">
      <c r="H197" s="91"/>
      <c r="I197" s="91"/>
      <c r="J197" s="97"/>
      <c r="K197" s="79"/>
      <c r="L197" s="79"/>
      <c r="M197" s="79" t="str">
        <f>Table7281822432404856647280[[#This Row],[DBA]]&amp;" - "&amp;Table7281822432404856647280[[#This Row],[BIN]]&amp;" - "&amp;Table7281822432404856647280[[#This Row],[CAID]]</f>
        <v xml:space="preserve"> -  - </v>
      </c>
      <c r="N197" s="90"/>
    </row>
    <row r="198" spans="8:14" x14ac:dyDescent="0.25">
      <c r="H198" s="91"/>
      <c r="I198" s="91"/>
      <c r="J198" s="97"/>
      <c r="K198" s="79"/>
      <c r="L198" s="79"/>
      <c r="M198" s="79" t="str">
        <f>Table7281822432404856647280[[#This Row],[DBA]]&amp;" - "&amp;Table7281822432404856647280[[#This Row],[BIN]]&amp;" - "&amp;Table7281822432404856647280[[#This Row],[CAID]]</f>
        <v xml:space="preserve"> -  - </v>
      </c>
      <c r="N198" s="90"/>
    </row>
    <row r="199" spans="8:14" x14ac:dyDescent="0.25">
      <c r="H199" s="91"/>
      <c r="I199" s="91"/>
      <c r="J199" s="97"/>
      <c r="K199" s="79"/>
      <c r="L199" s="79"/>
      <c r="M199" s="79" t="str">
        <f>Table7281822432404856647280[[#This Row],[DBA]]&amp;" - "&amp;Table7281822432404856647280[[#This Row],[BIN]]&amp;" - "&amp;Table7281822432404856647280[[#This Row],[CAID]]</f>
        <v xml:space="preserve"> -  - </v>
      </c>
      <c r="N199" s="90"/>
    </row>
    <row r="200" spans="8:14" x14ac:dyDescent="0.25">
      <c r="H200" s="91"/>
      <c r="I200" s="91"/>
      <c r="J200" s="97"/>
      <c r="K200" s="79"/>
      <c r="L200" s="79"/>
      <c r="M200" s="79" t="str">
        <f>Table7281822432404856647280[[#This Row],[DBA]]&amp;" - "&amp;Table7281822432404856647280[[#This Row],[BIN]]&amp;" - "&amp;Table7281822432404856647280[[#This Row],[CAID]]</f>
        <v xml:space="preserve"> -  - </v>
      </c>
      <c r="N200" s="90"/>
    </row>
    <row r="201" spans="8:14" x14ac:dyDescent="0.25">
      <c r="H201" s="91"/>
      <c r="I201" s="91"/>
      <c r="J201" s="97"/>
      <c r="K201" s="79"/>
      <c r="L201" s="79"/>
      <c r="M201" s="79" t="str">
        <f>Table7281822432404856647280[[#This Row],[DBA]]&amp;" - "&amp;Table7281822432404856647280[[#This Row],[BIN]]&amp;" - "&amp;Table7281822432404856647280[[#This Row],[CAID]]</f>
        <v xml:space="preserve"> -  - </v>
      </c>
      <c r="N201" s="90"/>
    </row>
    <row r="202" spans="8:14" x14ac:dyDescent="0.25">
      <c r="H202" s="91"/>
      <c r="I202" s="91"/>
      <c r="J202" s="97"/>
      <c r="K202" s="79"/>
      <c r="L202" s="79"/>
      <c r="M202" s="79" t="str">
        <f>Table7281822432404856647280[[#This Row],[DBA]]&amp;" - "&amp;Table7281822432404856647280[[#This Row],[BIN]]&amp;" - "&amp;Table7281822432404856647280[[#This Row],[CAID]]</f>
        <v xml:space="preserve"> -  - </v>
      </c>
      <c r="N202" s="90"/>
    </row>
    <row r="203" spans="8:14" x14ac:dyDescent="0.25">
      <c r="H203" s="91"/>
      <c r="I203" s="91"/>
      <c r="J203" s="97"/>
      <c r="K203" s="79"/>
      <c r="L203" s="79"/>
      <c r="M203" s="79" t="str">
        <f>Table7281822432404856647280[[#This Row],[DBA]]&amp;" - "&amp;Table7281822432404856647280[[#This Row],[BIN]]&amp;" - "&amp;Table7281822432404856647280[[#This Row],[CAID]]</f>
        <v xml:space="preserve"> -  - </v>
      </c>
      <c r="N203" s="90"/>
    </row>
    <row r="204" spans="8:14" x14ac:dyDescent="0.25">
      <c r="H204" s="91"/>
      <c r="I204" s="91"/>
      <c r="J204" s="97"/>
      <c r="K204" s="79"/>
      <c r="L204" s="79"/>
      <c r="M204" s="79" t="str">
        <f>Table7281822432404856647280[[#This Row],[DBA]]&amp;" - "&amp;Table7281822432404856647280[[#This Row],[BIN]]&amp;" - "&amp;Table7281822432404856647280[[#This Row],[CAID]]</f>
        <v xml:space="preserve"> -  - </v>
      </c>
      <c r="N204" s="90"/>
    </row>
    <row r="205" spans="8:14" x14ac:dyDescent="0.25">
      <c r="H205" s="91"/>
      <c r="I205" s="91"/>
      <c r="J205" s="97"/>
      <c r="K205" s="79"/>
      <c r="L205" s="79"/>
      <c r="M205" s="79" t="str">
        <f>Table7281822432404856647280[[#This Row],[DBA]]&amp;" - "&amp;Table7281822432404856647280[[#This Row],[BIN]]&amp;" - "&amp;Table7281822432404856647280[[#This Row],[CAID]]</f>
        <v xml:space="preserve"> -  - </v>
      </c>
      <c r="N205" s="90"/>
    </row>
    <row r="206" spans="8:14" x14ac:dyDescent="0.25">
      <c r="H206" s="91"/>
      <c r="I206" s="91"/>
      <c r="J206" s="97"/>
      <c r="K206" s="79"/>
      <c r="L206" s="79"/>
      <c r="M206" s="79" t="str">
        <f>Table7281822432404856647280[[#This Row],[DBA]]&amp;" - "&amp;Table7281822432404856647280[[#This Row],[BIN]]&amp;" - "&amp;Table7281822432404856647280[[#This Row],[CAID]]</f>
        <v xml:space="preserve"> -  - </v>
      </c>
      <c r="N206" s="90"/>
    </row>
    <row r="207" spans="8:14" x14ac:dyDescent="0.25">
      <c r="H207" s="91"/>
      <c r="I207" s="91"/>
      <c r="J207" s="97"/>
      <c r="K207" s="79"/>
      <c r="L207" s="79"/>
      <c r="M207" s="79" t="str">
        <f>Table7281822432404856647280[[#This Row],[DBA]]&amp;" - "&amp;Table7281822432404856647280[[#This Row],[BIN]]&amp;" - "&amp;Table7281822432404856647280[[#This Row],[CAID]]</f>
        <v xml:space="preserve"> -  - </v>
      </c>
      <c r="N207" s="90"/>
    </row>
    <row r="208" spans="8:14" x14ac:dyDescent="0.25">
      <c r="H208" s="91"/>
      <c r="I208" s="91"/>
      <c r="J208" s="97"/>
      <c r="K208" s="79"/>
      <c r="L208" s="79"/>
      <c r="M208" s="79" t="str">
        <f>Table7281822432404856647280[[#This Row],[DBA]]&amp;" - "&amp;Table7281822432404856647280[[#This Row],[BIN]]&amp;" - "&amp;Table7281822432404856647280[[#This Row],[CAID]]</f>
        <v xml:space="preserve"> -  - </v>
      </c>
      <c r="N208" s="90"/>
    </row>
    <row r="209" spans="8:14" x14ac:dyDescent="0.25">
      <c r="H209" s="91"/>
      <c r="I209" s="91"/>
      <c r="J209" s="97"/>
      <c r="K209" s="79"/>
      <c r="L209" s="79"/>
      <c r="M209" s="79" t="str">
        <f>Table7281822432404856647280[[#This Row],[DBA]]&amp;" - "&amp;Table7281822432404856647280[[#This Row],[BIN]]&amp;" - "&amp;Table7281822432404856647280[[#This Row],[CAID]]</f>
        <v xml:space="preserve"> -  - </v>
      </c>
      <c r="N209" s="90"/>
    </row>
    <row r="210" spans="8:14" x14ac:dyDescent="0.25">
      <c r="H210" s="91"/>
      <c r="I210" s="91"/>
      <c r="J210" s="97"/>
      <c r="K210" s="79"/>
      <c r="L210" s="79"/>
      <c r="M210" s="79" t="str">
        <f>Table7281822432404856647280[[#This Row],[DBA]]&amp;" - "&amp;Table7281822432404856647280[[#This Row],[BIN]]&amp;" - "&amp;Table7281822432404856647280[[#This Row],[CAID]]</f>
        <v xml:space="preserve"> -  - </v>
      </c>
      <c r="N210" s="90"/>
    </row>
    <row r="211" spans="8:14" x14ac:dyDescent="0.25">
      <c r="H211" s="91"/>
      <c r="I211" s="91"/>
      <c r="J211" s="97"/>
      <c r="K211" s="79"/>
      <c r="L211" s="79"/>
      <c r="M211" s="79" t="str">
        <f>Table7281822432404856647280[[#This Row],[DBA]]&amp;" - "&amp;Table7281822432404856647280[[#This Row],[BIN]]&amp;" - "&amp;Table7281822432404856647280[[#This Row],[CAID]]</f>
        <v xml:space="preserve"> -  - </v>
      </c>
      <c r="N211" s="90"/>
    </row>
    <row r="212" spans="8:14" x14ac:dyDescent="0.25">
      <c r="H212" s="91"/>
      <c r="I212" s="91"/>
      <c r="J212" s="97"/>
      <c r="K212" s="79"/>
      <c r="L212" s="79"/>
      <c r="M212" s="79" t="str">
        <f>Table7281822432404856647280[[#This Row],[DBA]]&amp;" - "&amp;Table7281822432404856647280[[#This Row],[BIN]]&amp;" - "&amp;Table7281822432404856647280[[#This Row],[CAID]]</f>
        <v xml:space="preserve"> -  - </v>
      </c>
      <c r="N212" s="90"/>
    </row>
    <row r="213" spans="8:14" x14ac:dyDescent="0.25">
      <c r="H213" s="91"/>
      <c r="I213" s="91"/>
      <c r="J213" s="97"/>
      <c r="K213" s="79"/>
      <c r="L213" s="79"/>
      <c r="M213" s="79" t="str">
        <f>Table7281822432404856647280[[#This Row],[DBA]]&amp;" - "&amp;Table7281822432404856647280[[#This Row],[BIN]]&amp;" - "&amp;Table7281822432404856647280[[#This Row],[CAID]]</f>
        <v xml:space="preserve"> -  - </v>
      </c>
      <c r="N213" s="90"/>
    </row>
    <row r="214" spans="8:14" x14ac:dyDescent="0.25">
      <c r="H214" s="91"/>
      <c r="I214" s="91"/>
      <c r="J214" s="97"/>
      <c r="K214" s="79"/>
      <c r="L214" s="79"/>
      <c r="M214" s="79" t="str">
        <f>Table7281822432404856647280[[#This Row],[DBA]]&amp;" - "&amp;Table7281822432404856647280[[#This Row],[BIN]]&amp;" - "&amp;Table7281822432404856647280[[#This Row],[CAID]]</f>
        <v xml:space="preserve"> -  - </v>
      </c>
      <c r="N214" s="90"/>
    </row>
    <row r="215" spans="8:14" x14ac:dyDescent="0.25">
      <c r="H215" s="91"/>
      <c r="I215" s="91"/>
      <c r="J215" s="97"/>
      <c r="K215" s="79"/>
      <c r="L215" s="79"/>
      <c r="M215" s="79" t="str">
        <f>Table7281822432404856647280[[#This Row],[DBA]]&amp;" - "&amp;Table7281822432404856647280[[#This Row],[BIN]]&amp;" - "&amp;Table7281822432404856647280[[#This Row],[CAID]]</f>
        <v xml:space="preserve"> -  - </v>
      </c>
      <c r="N215" s="90"/>
    </row>
    <row r="216" spans="8:14" x14ac:dyDescent="0.25">
      <c r="H216" s="91"/>
      <c r="I216" s="91"/>
      <c r="J216" s="97"/>
      <c r="K216" s="79"/>
      <c r="L216" s="79"/>
      <c r="M216" s="79" t="str">
        <f>Table7281822432404856647280[[#This Row],[DBA]]&amp;" - "&amp;Table7281822432404856647280[[#This Row],[BIN]]&amp;" - "&amp;Table7281822432404856647280[[#This Row],[CAID]]</f>
        <v xml:space="preserve"> -  - </v>
      </c>
      <c r="N216" s="90"/>
    </row>
    <row r="217" spans="8:14" x14ac:dyDescent="0.25">
      <c r="H217" s="91"/>
      <c r="I217" s="91"/>
      <c r="J217" s="97"/>
      <c r="K217" s="79"/>
      <c r="L217" s="79"/>
      <c r="M217" s="79" t="str">
        <f>Table7281822432404856647280[[#This Row],[DBA]]&amp;" - "&amp;Table7281822432404856647280[[#This Row],[BIN]]&amp;" - "&amp;Table7281822432404856647280[[#This Row],[CAID]]</f>
        <v xml:space="preserve"> -  - </v>
      </c>
      <c r="N217" s="90"/>
    </row>
    <row r="218" spans="8:14" x14ac:dyDescent="0.25">
      <c r="H218" s="91"/>
      <c r="I218" s="91"/>
      <c r="J218" s="97"/>
      <c r="K218" s="79"/>
      <c r="L218" s="79"/>
      <c r="M218" s="79" t="str">
        <f>Table7281822432404856647280[[#This Row],[DBA]]&amp;" - "&amp;Table7281822432404856647280[[#This Row],[BIN]]&amp;" - "&amp;Table7281822432404856647280[[#This Row],[CAID]]</f>
        <v xml:space="preserve"> -  - </v>
      </c>
      <c r="N218" s="90"/>
    </row>
    <row r="219" spans="8:14" x14ac:dyDescent="0.25">
      <c r="H219" s="91"/>
      <c r="I219" s="91"/>
      <c r="J219" s="97"/>
      <c r="K219" s="79"/>
      <c r="L219" s="79"/>
      <c r="M219" s="79" t="str">
        <f>Table7281822432404856647280[[#This Row],[DBA]]&amp;" - "&amp;Table7281822432404856647280[[#This Row],[BIN]]&amp;" - "&amp;Table7281822432404856647280[[#This Row],[CAID]]</f>
        <v xml:space="preserve"> -  - </v>
      </c>
      <c r="N219" s="90"/>
    </row>
    <row r="220" spans="8:14" x14ac:dyDescent="0.25">
      <c r="H220" s="91"/>
      <c r="I220" s="91"/>
      <c r="J220" s="97"/>
      <c r="K220" s="79"/>
      <c r="L220" s="79"/>
      <c r="M220" s="79" t="str">
        <f>Table7281822432404856647280[[#This Row],[DBA]]&amp;" - "&amp;Table7281822432404856647280[[#This Row],[BIN]]&amp;" - "&amp;Table7281822432404856647280[[#This Row],[CAID]]</f>
        <v xml:space="preserve"> -  - </v>
      </c>
      <c r="N220" s="90"/>
    </row>
    <row r="221" spans="8:14" x14ac:dyDescent="0.25">
      <c r="H221" s="91"/>
      <c r="I221" s="91"/>
      <c r="J221" s="97"/>
      <c r="K221" s="79"/>
      <c r="L221" s="79"/>
      <c r="M221" s="79" t="str">
        <f>Table7281822432404856647280[[#This Row],[DBA]]&amp;" - "&amp;Table7281822432404856647280[[#This Row],[BIN]]&amp;" - "&amp;Table7281822432404856647280[[#This Row],[CAID]]</f>
        <v xml:space="preserve"> -  - </v>
      </c>
      <c r="N221" s="90"/>
    </row>
    <row r="222" spans="8:14" x14ac:dyDescent="0.25">
      <c r="H222" s="91"/>
      <c r="I222" s="91"/>
      <c r="J222" s="97"/>
      <c r="K222" s="79"/>
      <c r="L222" s="79"/>
      <c r="M222" s="79" t="str">
        <f>Table7281822432404856647280[[#This Row],[DBA]]&amp;" - "&amp;Table7281822432404856647280[[#This Row],[BIN]]&amp;" - "&amp;Table7281822432404856647280[[#This Row],[CAID]]</f>
        <v xml:space="preserve"> -  - </v>
      </c>
      <c r="N222" s="90"/>
    </row>
    <row r="223" spans="8:14" x14ac:dyDescent="0.25">
      <c r="H223" s="91"/>
      <c r="I223" s="91"/>
      <c r="J223" s="97"/>
      <c r="K223" s="79"/>
      <c r="L223" s="79"/>
      <c r="M223" s="79" t="str">
        <f>Table7281822432404856647280[[#This Row],[DBA]]&amp;" - "&amp;Table7281822432404856647280[[#This Row],[BIN]]&amp;" - "&amp;Table7281822432404856647280[[#This Row],[CAID]]</f>
        <v xml:space="preserve"> -  - </v>
      </c>
      <c r="N223" s="90"/>
    </row>
    <row r="224" spans="8:14" x14ac:dyDescent="0.25">
      <c r="H224" s="91"/>
      <c r="I224" s="91"/>
      <c r="J224" s="97"/>
      <c r="K224" s="79"/>
      <c r="L224" s="79"/>
      <c r="M224" s="79" t="str">
        <f>Table7281822432404856647280[[#This Row],[DBA]]&amp;" - "&amp;Table7281822432404856647280[[#This Row],[BIN]]&amp;" - "&amp;Table7281822432404856647280[[#This Row],[CAID]]</f>
        <v xml:space="preserve"> -  - </v>
      </c>
      <c r="N224" s="90"/>
    </row>
    <row r="225" spans="8:14" x14ac:dyDescent="0.25">
      <c r="H225" s="91"/>
      <c r="I225" s="91"/>
      <c r="J225" s="97"/>
      <c r="K225" s="79"/>
      <c r="L225" s="79"/>
      <c r="M225" s="79" t="str">
        <f>Table7281822432404856647280[[#This Row],[DBA]]&amp;" - "&amp;Table7281822432404856647280[[#This Row],[BIN]]&amp;" - "&amp;Table7281822432404856647280[[#This Row],[CAID]]</f>
        <v xml:space="preserve"> -  - </v>
      </c>
      <c r="N225" s="90"/>
    </row>
    <row r="226" spans="8:14" x14ac:dyDescent="0.25">
      <c r="H226" s="91"/>
      <c r="I226" s="91"/>
      <c r="J226" s="97"/>
      <c r="K226" s="79"/>
      <c r="L226" s="79"/>
      <c r="M226" s="79" t="str">
        <f>Table7281822432404856647280[[#This Row],[DBA]]&amp;" - "&amp;Table7281822432404856647280[[#This Row],[BIN]]&amp;" - "&amp;Table7281822432404856647280[[#This Row],[CAID]]</f>
        <v xml:space="preserve"> -  - </v>
      </c>
      <c r="N226" s="90"/>
    </row>
    <row r="227" spans="8:14" x14ac:dyDescent="0.25">
      <c r="H227" s="91"/>
      <c r="I227" s="91"/>
      <c r="J227" s="97"/>
      <c r="K227" s="79"/>
      <c r="L227" s="79"/>
      <c r="M227" s="79" t="str">
        <f>Table7281822432404856647280[[#This Row],[DBA]]&amp;" - "&amp;Table7281822432404856647280[[#This Row],[BIN]]&amp;" - "&amp;Table7281822432404856647280[[#This Row],[CAID]]</f>
        <v xml:space="preserve"> -  - </v>
      </c>
      <c r="N227" s="90"/>
    </row>
    <row r="228" spans="8:14" x14ac:dyDescent="0.25">
      <c r="H228" s="91"/>
      <c r="I228" s="91"/>
      <c r="J228" s="97"/>
      <c r="K228" s="79"/>
      <c r="L228" s="79"/>
      <c r="M228" s="79" t="str">
        <f>Table7281822432404856647280[[#This Row],[DBA]]&amp;" - "&amp;Table7281822432404856647280[[#This Row],[BIN]]&amp;" - "&amp;Table7281822432404856647280[[#This Row],[CAID]]</f>
        <v xml:space="preserve"> -  - </v>
      </c>
      <c r="N228" s="90"/>
    </row>
    <row r="229" spans="8:14" x14ac:dyDescent="0.25">
      <c r="H229" s="91"/>
      <c r="I229" s="91"/>
      <c r="J229" s="97"/>
      <c r="K229" s="79"/>
      <c r="L229" s="79"/>
      <c r="M229" s="79" t="str">
        <f>Table7281822432404856647280[[#This Row],[DBA]]&amp;" - "&amp;Table7281822432404856647280[[#This Row],[BIN]]&amp;" - "&amp;Table7281822432404856647280[[#This Row],[CAID]]</f>
        <v xml:space="preserve"> -  - </v>
      </c>
      <c r="N229" s="90"/>
    </row>
    <row r="230" spans="8:14" x14ac:dyDescent="0.25">
      <c r="H230" s="91"/>
      <c r="I230" s="91"/>
      <c r="J230" s="97"/>
      <c r="K230" s="79"/>
      <c r="L230" s="79"/>
      <c r="M230" s="79" t="str">
        <f>Table7281822432404856647280[[#This Row],[DBA]]&amp;" - "&amp;Table7281822432404856647280[[#This Row],[BIN]]&amp;" - "&amp;Table7281822432404856647280[[#This Row],[CAID]]</f>
        <v xml:space="preserve"> -  - </v>
      </c>
      <c r="N230" s="90"/>
    </row>
    <row r="231" spans="8:14" x14ac:dyDescent="0.25">
      <c r="H231" s="91"/>
      <c r="I231" s="91"/>
      <c r="J231" s="97"/>
      <c r="K231" s="79"/>
      <c r="L231" s="79"/>
      <c r="M231" s="79" t="str">
        <f>Table7281822432404856647280[[#This Row],[DBA]]&amp;" - "&amp;Table7281822432404856647280[[#This Row],[BIN]]&amp;" - "&amp;Table7281822432404856647280[[#This Row],[CAID]]</f>
        <v xml:space="preserve"> -  - </v>
      </c>
      <c r="N231" s="90"/>
    </row>
    <row r="232" spans="8:14" x14ac:dyDescent="0.25">
      <c r="H232" s="91"/>
      <c r="I232" s="91"/>
      <c r="J232" s="97"/>
      <c r="K232" s="79"/>
      <c r="L232" s="79"/>
      <c r="M232" s="79" t="str">
        <f>Table7281822432404856647280[[#This Row],[DBA]]&amp;" - "&amp;Table7281822432404856647280[[#This Row],[BIN]]&amp;" - "&amp;Table7281822432404856647280[[#This Row],[CAID]]</f>
        <v xml:space="preserve"> -  - </v>
      </c>
      <c r="N232" s="90"/>
    </row>
    <row r="233" spans="8:14" x14ac:dyDescent="0.25">
      <c r="H233" s="91"/>
      <c r="I233" s="91"/>
      <c r="J233" s="97"/>
      <c r="K233" s="79"/>
      <c r="L233" s="79"/>
      <c r="M233" s="79" t="str">
        <f>Table7281822432404856647280[[#This Row],[DBA]]&amp;" - "&amp;Table7281822432404856647280[[#This Row],[BIN]]&amp;" - "&amp;Table7281822432404856647280[[#This Row],[CAID]]</f>
        <v xml:space="preserve"> -  - </v>
      </c>
      <c r="N233" s="90"/>
    </row>
    <row r="234" spans="8:14" x14ac:dyDescent="0.25">
      <c r="H234" s="91"/>
      <c r="I234" s="91"/>
      <c r="J234" s="97"/>
      <c r="K234" s="79"/>
      <c r="L234" s="79"/>
      <c r="M234" s="79" t="str">
        <f>Table7281822432404856647280[[#This Row],[DBA]]&amp;" - "&amp;Table7281822432404856647280[[#This Row],[BIN]]&amp;" - "&amp;Table7281822432404856647280[[#This Row],[CAID]]</f>
        <v xml:space="preserve"> -  - </v>
      </c>
      <c r="N234" s="90"/>
    </row>
    <row r="235" spans="8:14" x14ac:dyDescent="0.25">
      <c r="H235" s="91"/>
      <c r="I235" s="91"/>
      <c r="J235" s="97"/>
      <c r="K235" s="79"/>
      <c r="L235" s="79"/>
      <c r="M235" s="79" t="str">
        <f>Table7281822432404856647280[[#This Row],[DBA]]&amp;" - "&amp;Table7281822432404856647280[[#This Row],[BIN]]&amp;" - "&amp;Table7281822432404856647280[[#This Row],[CAID]]</f>
        <v xml:space="preserve"> -  - </v>
      </c>
      <c r="N235" s="90"/>
    </row>
    <row r="236" spans="8:14" x14ac:dyDescent="0.25">
      <c r="H236" s="91"/>
      <c r="I236" s="91"/>
      <c r="J236" s="97"/>
      <c r="K236" s="79"/>
      <c r="L236" s="79"/>
      <c r="M236" s="79" t="str">
        <f>Table7281822432404856647280[[#This Row],[DBA]]&amp;" - "&amp;Table7281822432404856647280[[#This Row],[BIN]]&amp;" - "&amp;Table7281822432404856647280[[#This Row],[CAID]]</f>
        <v xml:space="preserve"> -  - </v>
      </c>
      <c r="N236" s="90"/>
    </row>
    <row r="237" spans="8:14" x14ac:dyDescent="0.25">
      <c r="H237" s="91"/>
      <c r="I237" s="91"/>
      <c r="J237" s="97"/>
      <c r="K237" s="79"/>
      <c r="L237" s="79"/>
      <c r="M237" s="79" t="str">
        <f>Table7281822432404856647280[[#This Row],[DBA]]&amp;" - "&amp;Table7281822432404856647280[[#This Row],[BIN]]&amp;" - "&amp;Table7281822432404856647280[[#This Row],[CAID]]</f>
        <v xml:space="preserve"> -  - </v>
      </c>
      <c r="N237" s="90"/>
    </row>
    <row r="238" spans="8:14" x14ac:dyDescent="0.25">
      <c r="H238" s="91"/>
      <c r="I238" s="91"/>
      <c r="J238" s="97"/>
      <c r="K238" s="79"/>
      <c r="L238" s="79"/>
      <c r="M238" s="79" t="str">
        <f>Table7281822432404856647280[[#This Row],[DBA]]&amp;" - "&amp;Table7281822432404856647280[[#This Row],[BIN]]&amp;" - "&amp;Table7281822432404856647280[[#This Row],[CAID]]</f>
        <v xml:space="preserve"> -  - </v>
      </c>
      <c r="N238" s="90"/>
    </row>
    <row r="239" spans="8:14" x14ac:dyDescent="0.25">
      <c r="H239" s="91"/>
      <c r="I239" s="91"/>
      <c r="J239" s="97"/>
      <c r="K239" s="79"/>
      <c r="L239" s="79"/>
      <c r="M239" s="79" t="str">
        <f>Table7281822432404856647280[[#This Row],[DBA]]&amp;" - "&amp;Table7281822432404856647280[[#This Row],[BIN]]&amp;" - "&amp;Table7281822432404856647280[[#This Row],[CAID]]</f>
        <v xml:space="preserve"> -  - </v>
      </c>
      <c r="N239" s="90"/>
    </row>
    <row r="240" spans="8:14" x14ac:dyDescent="0.25">
      <c r="H240" s="91"/>
      <c r="I240" s="91"/>
      <c r="J240" s="97"/>
      <c r="K240" s="79"/>
      <c r="L240" s="79"/>
      <c r="M240" s="79" t="str">
        <f>Table7281822432404856647280[[#This Row],[DBA]]&amp;" - "&amp;Table7281822432404856647280[[#This Row],[BIN]]&amp;" - "&amp;Table7281822432404856647280[[#This Row],[CAID]]</f>
        <v xml:space="preserve"> -  - </v>
      </c>
      <c r="N240" s="90"/>
    </row>
    <row r="241" spans="8:14" x14ac:dyDescent="0.25">
      <c r="H241" s="91"/>
      <c r="I241" s="91"/>
      <c r="J241" s="97"/>
      <c r="K241" s="79"/>
      <c r="L241" s="79"/>
      <c r="M241" s="79" t="str">
        <f>Table7281822432404856647280[[#This Row],[DBA]]&amp;" - "&amp;Table7281822432404856647280[[#This Row],[BIN]]&amp;" - "&amp;Table7281822432404856647280[[#This Row],[CAID]]</f>
        <v xml:space="preserve"> -  - </v>
      </c>
      <c r="N241" s="90"/>
    </row>
    <row r="242" spans="8:14" x14ac:dyDescent="0.25">
      <c r="H242" s="91"/>
      <c r="I242" s="91"/>
      <c r="J242" s="97"/>
      <c r="K242" s="79"/>
      <c r="L242" s="79"/>
      <c r="M242" s="79" t="str">
        <f>Table7281822432404856647280[[#This Row],[DBA]]&amp;" - "&amp;Table7281822432404856647280[[#This Row],[BIN]]&amp;" - "&amp;Table7281822432404856647280[[#This Row],[CAID]]</f>
        <v xml:space="preserve"> -  - </v>
      </c>
      <c r="N242" s="90"/>
    </row>
    <row r="243" spans="8:14" x14ac:dyDescent="0.25">
      <c r="H243" s="91"/>
      <c r="I243" s="91"/>
      <c r="J243" s="97"/>
      <c r="K243" s="79"/>
      <c r="L243" s="79"/>
      <c r="M243" s="79" t="str">
        <f>Table7281822432404856647280[[#This Row],[DBA]]&amp;" - "&amp;Table7281822432404856647280[[#This Row],[BIN]]&amp;" - "&amp;Table7281822432404856647280[[#This Row],[CAID]]</f>
        <v xml:space="preserve"> -  - </v>
      </c>
      <c r="N243" s="90"/>
    </row>
    <row r="244" spans="8:14" x14ac:dyDescent="0.25">
      <c r="H244" s="91"/>
      <c r="I244" s="91"/>
      <c r="J244" s="97"/>
      <c r="K244" s="79"/>
      <c r="L244" s="79"/>
      <c r="M244" s="79" t="str">
        <f>Table7281822432404856647280[[#This Row],[DBA]]&amp;" - "&amp;Table7281822432404856647280[[#This Row],[BIN]]&amp;" - "&amp;Table7281822432404856647280[[#This Row],[CAID]]</f>
        <v xml:space="preserve"> -  - </v>
      </c>
      <c r="N244" s="90"/>
    </row>
    <row r="245" spans="8:14" x14ac:dyDescent="0.25">
      <c r="H245" s="91"/>
      <c r="I245" s="91"/>
      <c r="J245" s="97"/>
      <c r="K245" s="79"/>
      <c r="L245" s="79"/>
      <c r="M245" s="79" t="str">
        <f>Table7281822432404856647280[[#This Row],[DBA]]&amp;" - "&amp;Table7281822432404856647280[[#This Row],[BIN]]&amp;" - "&amp;Table7281822432404856647280[[#This Row],[CAID]]</f>
        <v xml:space="preserve"> -  - </v>
      </c>
      <c r="N245" s="90"/>
    </row>
    <row r="246" spans="8:14" x14ac:dyDescent="0.25">
      <c r="H246" s="91"/>
      <c r="I246" s="91"/>
      <c r="J246" s="97"/>
      <c r="K246" s="79"/>
      <c r="L246" s="79"/>
      <c r="M246" s="79" t="str">
        <f>Table7281822432404856647280[[#This Row],[DBA]]&amp;" - "&amp;Table7281822432404856647280[[#This Row],[BIN]]&amp;" - "&amp;Table7281822432404856647280[[#This Row],[CAID]]</f>
        <v xml:space="preserve"> -  - </v>
      </c>
      <c r="N246" s="90"/>
    </row>
    <row r="247" spans="8:14" x14ac:dyDescent="0.25">
      <c r="H247" s="91"/>
      <c r="I247" s="91"/>
      <c r="J247" s="97"/>
      <c r="K247" s="79"/>
      <c r="L247" s="79"/>
      <c r="M247" s="79" t="str">
        <f>Table7281822432404856647280[[#This Row],[DBA]]&amp;" - "&amp;Table7281822432404856647280[[#This Row],[BIN]]&amp;" - "&amp;Table7281822432404856647280[[#This Row],[CAID]]</f>
        <v xml:space="preserve"> -  - </v>
      </c>
      <c r="N247" s="90"/>
    </row>
    <row r="248" spans="8:14" x14ac:dyDescent="0.25">
      <c r="H248" s="91"/>
      <c r="I248" s="91"/>
      <c r="J248" s="97"/>
      <c r="K248" s="79"/>
      <c r="L248" s="79"/>
      <c r="M248" s="79" t="str">
        <f>Table7281822432404856647280[[#This Row],[DBA]]&amp;" - "&amp;Table7281822432404856647280[[#This Row],[BIN]]&amp;" - "&amp;Table7281822432404856647280[[#This Row],[CAID]]</f>
        <v xml:space="preserve"> -  - </v>
      </c>
      <c r="N248" s="90"/>
    </row>
    <row r="249" spans="8:14" x14ac:dyDescent="0.25">
      <c r="H249" s="91"/>
      <c r="I249" s="91"/>
      <c r="J249" s="97"/>
      <c r="K249" s="79"/>
      <c r="L249" s="79"/>
      <c r="M249" s="79" t="str">
        <f>Table7281822432404856647280[[#This Row],[DBA]]&amp;" - "&amp;Table7281822432404856647280[[#This Row],[BIN]]&amp;" - "&amp;Table7281822432404856647280[[#This Row],[CAID]]</f>
        <v xml:space="preserve"> -  - </v>
      </c>
      <c r="N249" s="90"/>
    </row>
    <row r="250" spans="8:14" x14ac:dyDescent="0.25">
      <c r="H250" s="91"/>
      <c r="I250" s="91"/>
      <c r="J250" s="97"/>
      <c r="K250" s="79"/>
      <c r="L250" s="79"/>
      <c r="M250" s="79" t="str">
        <f>Table7281822432404856647280[[#This Row],[DBA]]&amp;" - "&amp;Table7281822432404856647280[[#This Row],[BIN]]&amp;" - "&amp;Table7281822432404856647280[[#This Row],[CAID]]</f>
        <v xml:space="preserve"> -  - </v>
      </c>
      <c r="N250" s="90"/>
    </row>
    <row r="251" spans="8:14" x14ac:dyDescent="0.25">
      <c r="H251" s="91"/>
      <c r="I251" s="91"/>
      <c r="J251" s="97"/>
      <c r="K251" s="79"/>
      <c r="L251" s="79"/>
      <c r="M251" s="79" t="str">
        <f>Table7281822432404856647280[[#This Row],[DBA]]&amp;" - "&amp;Table7281822432404856647280[[#This Row],[BIN]]&amp;" - "&amp;Table7281822432404856647280[[#This Row],[CAID]]</f>
        <v xml:space="preserve"> -  - </v>
      </c>
      <c r="N251" s="90"/>
    </row>
    <row r="252" spans="8:14" x14ac:dyDescent="0.25">
      <c r="H252" s="91"/>
      <c r="I252" s="91"/>
      <c r="J252" s="97"/>
      <c r="K252" s="79"/>
      <c r="L252" s="79"/>
      <c r="M252" s="79" t="str">
        <f>Table7281822432404856647280[[#This Row],[DBA]]&amp;" - "&amp;Table7281822432404856647280[[#This Row],[BIN]]&amp;" - "&amp;Table7281822432404856647280[[#This Row],[CAID]]</f>
        <v xml:space="preserve"> -  - </v>
      </c>
      <c r="N252" s="90"/>
    </row>
    <row r="253" spans="8:14" x14ac:dyDescent="0.25">
      <c r="H253" s="91"/>
      <c r="I253" s="91"/>
      <c r="J253" s="97"/>
      <c r="K253" s="79"/>
      <c r="L253" s="79"/>
      <c r="M253" s="79" t="str">
        <f>Table7281822432404856647280[[#This Row],[DBA]]&amp;" - "&amp;Table7281822432404856647280[[#This Row],[BIN]]&amp;" - "&amp;Table7281822432404856647280[[#This Row],[CAID]]</f>
        <v xml:space="preserve"> -  - </v>
      </c>
      <c r="N253" s="90"/>
    </row>
    <row r="254" spans="8:14" x14ac:dyDescent="0.25">
      <c r="H254" s="91"/>
      <c r="I254" s="91"/>
      <c r="J254" s="97"/>
      <c r="K254" s="79"/>
      <c r="L254" s="79"/>
      <c r="M254" s="79" t="str">
        <f>Table7281822432404856647280[[#This Row],[DBA]]&amp;" - "&amp;Table7281822432404856647280[[#This Row],[BIN]]&amp;" - "&amp;Table7281822432404856647280[[#This Row],[CAID]]</f>
        <v xml:space="preserve"> -  - </v>
      </c>
      <c r="N254" s="90"/>
    </row>
    <row r="255" spans="8:14" x14ac:dyDescent="0.25">
      <c r="H255" s="91"/>
      <c r="I255" s="91"/>
      <c r="J255" s="97"/>
      <c r="K255" s="79"/>
      <c r="L255" s="79"/>
      <c r="M255" s="79" t="str">
        <f>Table7281822432404856647280[[#This Row],[DBA]]&amp;" - "&amp;Table7281822432404856647280[[#This Row],[BIN]]&amp;" - "&amp;Table7281822432404856647280[[#This Row],[CAID]]</f>
        <v xml:space="preserve"> -  - </v>
      </c>
      <c r="N255" s="90"/>
    </row>
    <row r="256" spans="8:14" x14ac:dyDescent="0.25">
      <c r="H256" s="91"/>
      <c r="I256" s="91"/>
      <c r="J256" s="97"/>
      <c r="K256" s="79"/>
      <c r="L256" s="79"/>
      <c r="M256" s="79" t="str">
        <f>Table7281822432404856647280[[#This Row],[DBA]]&amp;" - "&amp;Table7281822432404856647280[[#This Row],[BIN]]&amp;" - "&amp;Table7281822432404856647280[[#This Row],[CAID]]</f>
        <v xml:space="preserve"> -  - </v>
      </c>
      <c r="N256" s="90"/>
    </row>
    <row r="257" spans="8:14" x14ac:dyDescent="0.25">
      <c r="H257" s="91"/>
      <c r="I257" s="91"/>
      <c r="J257" s="97"/>
      <c r="K257" s="79"/>
      <c r="L257" s="79"/>
      <c r="M257" s="79" t="str">
        <f>Table7281822432404856647280[[#This Row],[DBA]]&amp;" - "&amp;Table7281822432404856647280[[#This Row],[BIN]]&amp;" - "&amp;Table7281822432404856647280[[#This Row],[CAID]]</f>
        <v xml:space="preserve"> -  - </v>
      </c>
      <c r="N257" s="90"/>
    </row>
    <row r="258" spans="8:14" x14ac:dyDescent="0.25">
      <c r="H258" s="91"/>
      <c r="I258" s="91"/>
      <c r="J258" s="97"/>
      <c r="K258" s="79"/>
      <c r="L258" s="79"/>
      <c r="M258" s="79" t="str">
        <f>Table7281822432404856647280[[#This Row],[DBA]]&amp;" - "&amp;Table7281822432404856647280[[#This Row],[BIN]]&amp;" - "&amp;Table7281822432404856647280[[#This Row],[CAID]]</f>
        <v xml:space="preserve"> -  - </v>
      </c>
      <c r="N258" s="90"/>
    </row>
    <row r="259" spans="8:14" x14ac:dyDescent="0.25">
      <c r="H259" s="91"/>
      <c r="I259" s="91"/>
      <c r="J259" s="97"/>
      <c r="K259" s="79"/>
      <c r="L259" s="79"/>
      <c r="M259" s="79" t="str">
        <f>Table7281822432404856647280[[#This Row],[DBA]]&amp;" - "&amp;Table7281822432404856647280[[#This Row],[BIN]]&amp;" - "&amp;Table7281822432404856647280[[#This Row],[CAID]]</f>
        <v xml:space="preserve"> -  - </v>
      </c>
      <c r="N259" s="90"/>
    </row>
    <row r="260" spans="8:14" x14ac:dyDescent="0.25">
      <c r="H260" s="91"/>
      <c r="I260" s="91"/>
      <c r="J260" s="97"/>
      <c r="K260" s="79"/>
      <c r="L260" s="79"/>
      <c r="M260" s="79" t="str">
        <f>Table7281822432404856647280[[#This Row],[DBA]]&amp;" - "&amp;Table7281822432404856647280[[#This Row],[BIN]]&amp;" - "&amp;Table7281822432404856647280[[#This Row],[CAID]]</f>
        <v xml:space="preserve"> -  - </v>
      </c>
      <c r="N260" s="90"/>
    </row>
    <row r="261" spans="8:14" x14ac:dyDescent="0.25">
      <c r="H261" s="91"/>
      <c r="I261" s="91"/>
      <c r="J261" s="97"/>
      <c r="K261" s="79"/>
      <c r="L261" s="79"/>
      <c r="M261" s="79" t="str">
        <f>Table7281822432404856647280[[#This Row],[DBA]]&amp;" - "&amp;Table7281822432404856647280[[#This Row],[BIN]]&amp;" - "&amp;Table7281822432404856647280[[#This Row],[CAID]]</f>
        <v xml:space="preserve"> -  - </v>
      </c>
      <c r="N261" s="90"/>
    </row>
    <row r="262" spans="8:14" x14ac:dyDescent="0.25">
      <c r="H262" s="91"/>
      <c r="I262" s="91"/>
      <c r="J262" s="97"/>
      <c r="K262" s="79"/>
      <c r="L262" s="79"/>
      <c r="M262" s="79" t="str">
        <f>Table7281822432404856647280[[#This Row],[DBA]]&amp;" - "&amp;Table7281822432404856647280[[#This Row],[BIN]]&amp;" - "&amp;Table7281822432404856647280[[#This Row],[CAID]]</f>
        <v xml:space="preserve"> -  - </v>
      </c>
      <c r="N262" s="90"/>
    </row>
    <row r="263" spans="8:14" x14ac:dyDescent="0.25">
      <c r="H263" s="91"/>
      <c r="I263" s="91"/>
      <c r="J263" s="97"/>
      <c r="K263" s="79"/>
      <c r="L263" s="79"/>
      <c r="M263" s="79" t="str">
        <f>Table7281822432404856647280[[#This Row],[DBA]]&amp;" - "&amp;Table7281822432404856647280[[#This Row],[BIN]]&amp;" - "&amp;Table7281822432404856647280[[#This Row],[CAID]]</f>
        <v xml:space="preserve"> -  - </v>
      </c>
      <c r="N263" s="90"/>
    </row>
    <row r="264" spans="8:14" x14ac:dyDescent="0.25">
      <c r="H264" s="91"/>
      <c r="I264" s="91"/>
      <c r="J264" s="97"/>
      <c r="K264" s="79"/>
      <c r="L264" s="79"/>
      <c r="M264" s="79" t="str">
        <f>Table7281822432404856647280[[#This Row],[DBA]]&amp;" - "&amp;Table7281822432404856647280[[#This Row],[BIN]]&amp;" - "&amp;Table7281822432404856647280[[#This Row],[CAID]]</f>
        <v xml:space="preserve"> -  - </v>
      </c>
      <c r="N264" s="90"/>
    </row>
    <row r="265" spans="8:14" x14ac:dyDescent="0.25">
      <c r="H265" s="91"/>
      <c r="I265" s="91"/>
      <c r="J265" s="97"/>
      <c r="K265" s="79"/>
      <c r="L265" s="79"/>
      <c r="M265" s="79" t="str">
        <f>Table7281822432404856647280[[#This Row],[DBA]]&amp;" - "&amp;Table7281822432404856647280[[#This Row],[BIN]]&amp;" - "&amp;Table7281822432404856647280[[#This Row],[CAID]]</f>
        <v xml:space="preserve"> -  - </v>
      </c>
      <c r="N265" s="90"/>
    </row>
    <row r="266" spans="8:14" x14ac:dyDescent="0.25">
      <c r="H266" s="91"/>
      <c r="I266" s="91"/>
      <c r="J266" s="97"/>
      <c r="K266" s="79"/>
      <c r="L266" s="79"/>
      <c r="M266" s="79" t="str">
        <f>Table7281822432404856647280[[#This Row],[DBA]]&amp;" - "&amp;Table7281822432404856647280[[#This Row],[BIN]]&amp;" - "&amp;Table7281822432404856647280[[#This Row],[CAID]]</f>
        <v xml:space="preserve"> -  - </v>
      </c>
      <c r="N266" s="90"/>
    </row>
    <row r="267" spans="8:14" x14ac:dyDescent="0.25">
      <c r="H267" s="91"/>
      <c r="I267" s="91"/>
      <c r="J267" s="97"/>
      <c r="K267" s="79"/>
      <c r="L267" s="79"/>
      <c r="M267" s="79" t="str">
        <f>Table7281822432404856647280[[#This Row],[DBA]]&amp;" - "&amp;Table7281822432404856647280[[#This Row],[BIN]]&amp;" - "&amp;Table7281822432404856647280[[#This Row],[CAID]]</f>
        <v xml:space="preserve"> -  - </v>
      </c>
      <c r="N267" s="90"/>
    </row>
    <row r="268" spans="8:14" x14ac:dyDescent="0.25">
      <c r="H268" s="91"/>
      <c r="I268" s="91"/>
      <c r="J268" s="97"/>
      <c r="K268" s="79"/>
      <c r="L268" s="79"/>
      <c r="M268" s="79" t="str">
        <f>Table7281822432404856647280[[#This Row],[DBA]]&amp;" - "&amp;Table7281822432404856647280[[#This Row],[BIN]]&amp;" - "&amp;Table7281822432404856647280[[#This Row],[CAID]]</f>
        <v xml:space="preserve"> -  - </v>
      </c>
      <c r="N268" s="90"/>
    </row>
    <row r="269" spans="8:14" x14ac:dyDescent="0.25">
      <c r="H269" s="91"/>
      <c r="I269" s="91"/>
      <c r="J269" s="97"/>
      <c r="K269" s="79"/>
      <c r="L269" s="79"/>
      <c r="M269" s="79" t="str">
        <f>Table7281822432404856647280[[#This Row],[DBA]]&amp;" - "&amp;Table7281822432404856647280[[#This Row],[BIN]]&amp;" - "&amp;Table7281822432404856647280[[#This Row],[CAID]]</f>
        <v xml:space="preserve"> -  - </v>
      </c>
      <c r="N269" s="90"/>
    </row>
    <row r="270" spans="8:14" x14ac:dyDescent="0.25">
      <c r="H270" s="91"/>
      <c r="I270" s="91"/>
      <c r="J270" s="97"/>
      <c r="K270" s="79"/>
      <c r="L270" s="79"/>
      <c r="M270" s="79" t="str">
        <f>Table7281822432404856647280[[#This Row],[DBA]]&amp;" - "&amp;Table7281822432404856647280[[#This Row],[BIN]]&amp;" - "&amp;Table7281822432404856647280[[#This Row],[CAID]]</f>
        <v xml:space="preserve"> -  - </v>
      </c>
      <c r="N270" s="90"/>
    </row>
    <row r="271" spans="8:14" x14ac:dyDescent="0.25">
      <c r="H271" s="91"/>
      <c r="I271" s="91"/>
      <c r="J271" s="97"/>
      <c r="K271" s="79"/>
      <c r="L271" s="79"/>
      <c r="M271" s="79" t="str">
        <f>Table7281822432404856647280[[#This Row],[DBA]]&amp;" - "&amp;Table7281822432404856647280[[#This Row],[BIN]]&amp;" - "&amp;Table7281822432404856647280[[#This Row],[CAID]]</f>
        <v xml:space="preserve"> -  - </v>
      </c>
      <c r="N271" s="90"/>
    </row>
    <row r="272" spans="8:14" x14ac:dyDescent="0.25">
      <c r="H272" s="91"/>
      <c r="I272" s="91"/>
      <c r="J272" s="97"/>
      <c r="K272" s="79"/>
      <c r="L272" s="79"/>
      <c r="M272" s="79" t="str">
        <f>Table7281822432404856647280[[#This Row],[DBA]]&amp;" - "&amp;Table7281822432404856647280[[#This Row],[BIN]]&amp;" - "&amp;Table7281822432404856647280[[#This Row],[CAID]]</f>
        <v xml:space="preserve"> -  - </v>
      </c>
      <c r="N272" s="90"/>
    </row>
    <row r="273" spans="8:14" x14ac:dyDescent="0.25">
      <c r="H273" s="91"/>
      <c r="I273" s="91"/>
      <c r="J273" s="97"/>
      <c r="K273" s="79"/>
      <c r="L273" s="79"/>
      <c r="M273" s="79" t="str">
        <f>Table7281822432404856647280[[#This Row],[DBA]]&amp;" - "&amp;Table7281822432404856647280[[#This Row],[BIN]]&amp;" - "&amp;Table7281822432404856647280[[#This Row],[CAID]]</f>
        <v xml:space="preserve"> -  - </v>
      </c>
      <c r="N273" s="90"/>
    </row>
    <row r="274" spans="8:14" x14ac:dyDescent="0.25">
      <c r="H274" s="91"/>
      <c r="I274" s="91"/>
      <c r="J274" s="97"/>
      <c r="K274" s="79"/>
      <c r="L274" s="79"/>
      <c r="M274" s="79" t="str">
        <f>Table7281822432404856647280[[#This Row],[DBA]]&amp;" - "&amp;Table7281822432404856647280[[#This Row],[BIN]]&amp;" - "&amp;Table7281822432404856647280[[#This Row],[CAID]]</f>
        <v xml:space="preserve"> -  - </v>
      </c>
      <c r="N274" s="90"/>
    </row>
    <row r="275" spans="8:14" x14ac:dyDescent="0.25">
      <c r="H275" s="91"/>
      <c r="I275" s="91"/>
      <c r="J275" s="97"/>
      <c r="K275" s="79"/>
      <c r="L275" s="79"/>
      <c r="M275" s="79" t="str">
        <f>Table7281822432404856647280[[#This Row],[DBA]]&amp;" - "&amp;Table7281822432404856647280[[#This Row],[BIN]]&amp;" - "&amp;Table7281822432404856647280[[#This Row],[CAID]]</f>
        <v xml:space="preserve"> -  - </v>
      </c>
      <c r="N275" s="90"/>
    </row>
    <row r="276" spans="8:14" x14ac:dyDescent="0.25">
      <c r="H276" s="91"/>
      <c r="I276" s="91"/>
      <c r="J276" s="97"/>
      <c r="K276" s="79"/>
      <c r="L276" s="79"/>
      <c r="M276" s="79" t="str">
        <f>Table7281822432404856647280[[#This Row],[DBA]]&amp;" - "&amp;Table7281822432404856647280[[#This Row],[BIN]]&amp;" - "&amp;Table7281822432404856647280[[#This Row],[CAID]]</f>
        <v xml:space="preserve"> -  - </v>
      </c>
      <c r="N276" s="90"/>
    </row>
    <row r="277" spans="8:14" x14ac:dyDescent="0.25">
      <c r="H277" s="91"/>
      <c r="I277" s="91"/>
      <c r="J277" s="97"/>
      <c r="K277" s="79"/>
      <c r="L277" s="79"/>
      <c r="M277" s="79" t="str">
        <f>Table7281822432404856647280[[#This Row],[DBA]]&amp;" - "&amp;Table7281822432404856647280[[#This Row],[BIN]]&amp;" - "&amp;Table7281822432404856647280[[#This Row],[CAID]]</f>
        <v xml:space="preserve"> -  - </v>
      </c>
      <c r="N277" s="90"/>
    </row>
    <row r="278" spans="8:14" x14ac:dyDescent="0.25">
      <c r="H278" s="91"/>
      <c r="I278" s="91"/>
      <c r="J278" s="97"/>
      <c r="K278" s="79"/>
      <c r="L278" s="79"/>
      <c r="M278" s="79" t="str">
        <f>Table7281822432404856647280[[#This Row],[DBA]]&amp;" - "&amp;Table7281822432404856647280[[#This Row],[BIN]]&amp;" - "&amp;Table7281822432404856647280[[#This Row],[CAID]]</f>
        <v xml:space="preserve"> -  - </v>
      </c>
      <c r="N278" s="90"/>
    </row>
    <row r="279" spans="8:14" x14ac:dyDescent="0.25">
      <c r="H279" s="91"/>
      <c r="I279" s="91"/>
      <c r="J279" s="97"/>
      <c r="K279" s="79"/>
      <c r="L279" s="79"/>
      <c r="M279" s="79" t="str">
        <f>Table7281822432404856647280[[#This Row],[DBA]]&amp;" - "&amp;Table7281822432404856647280[[#This Row],[BIN]]&amp;" - "&amp;Table7281822432404856647280[[#This Row],[CAID]]</f>
        <v xml:space="preserve"> -  - </v>
      </c>
      <c r="N279" s="90"/>
    </row>
    <row r="280" spans="8:14" x14ac:dyDescent="0.25">
      <c r="H280" s="91"/>
      <c r="I280" s="91"/>
      <c r="J280" s="97"/>
      <c r="K280" s="79"/>
      <c r="L280" s="79"/>
      <c r="M280" s="79" t="str">
        <f>Table7281822432404856647280[[#This Row],[DBA]]&amp;" - "&amp;Table7281822432404856647280[[#This Row],[BIN]]&amp;" - "&amp;Table7281822432404856647280[[#This Row],[CAID]]</f>
        <v xml:space="preserve"> -  - </v>
      </c>
      <c r="N280" s="90"/>
    </row>
    <row r="281" spans="8:14" x14ac:dyDescent="0.25">
      <c r="H281" s="91"/>
      <c r="I281" s="91"/>
      <c r="J281" s="97"/>
      <c r="K281" s="79"/>
      <c r="L281" s="79"/>
      <c r="M281" s="79" t="str">
        <f>Table7281822432404856647280[[#This Row],[DBA]]&amp;" - "&amp;Table7281822432404856647280[[#This Row],[BIN]]&amp;" - "&amp;Table7281822432404856647280[[#This Row],[CAID]]</f>
        <v xml:space="preserve"> -  - </v>
      </c>
      <c r="N281" s="90"/>
    </row>
    <row r="282" spans="8:14" x14ac:dyDescent="0.25">
      <c r="H282" s="91"/>
      <c r="I282" s="91"/>
      <c r="J282" s="97"/>
      <c r="K282" s="79"/>
      <c r="L282" s="79"/>
      <c r="M282" s="79" t="str">
        <f>Table7281822432404856647280[[#This Row],[DBA]]&amp;" - "&amp;Table7281822432404856647280[[#This Row],[BIN]]&amp;" - "&amp;Table7281822432404856647280[[#This Row],[CAID]]</f>
        <v xml:space="preserve"> -  - </v>
      </c>
      <c r="N282" s="90"/>
    </row>
    <row r="283" spans="8:14" x14ac:dyDescent="0.25">
      <c r="H283" s="91"/>
      <c r="I283" s="91"/>
      <c r="J283" s="97"/>
      <c r="K283" s="79"/>
      <c r="L283" s="79"/>
      <c r="M283" s="79" t="str">
        <f>Table7281822432404856647280[[#This Row],[DBA]]&amp;" - "&amp;Table7281822432404856647280[[#This Row],[BIN]]&amp;" - "&amp;Table7281822432404856647280[[#This Row],[CAID]]</f>
        <v xml:space="preserve"> -  - </v>
      </c>
      <c r="N283" s="90"/>
    </row>
    <row r="284" spans="8:14" x14ac:dyDescent="0.25">
      <c r="H284" s="91"/>
      <c r="I284" s="91"/>
      <c r="J284" s="97"/>
      <c r="K284" s="79"/>
      <c r="L284" s="79"/>
      <c r="M284" s="79" t="str">
        <f>Table7281822432404856647280[[#This Row],[DBA]]&amp;" - "&amp;Table7281822432404856647280[[#This Row],[BIN]]&amp;" - "&amp;Table7281822432404856647280[[#This Row],[CAID]]</f>
        <v xml:space="preserve"> -  - </v>
      </c>
      <c r="N284" s="90"/>
    </row>
    <row r="285" spans="8:14" x14ac:dyDescent="0.25">
      <c r="H285" s="91"/>
      <c r="I285" s="91"/>
      <c r="J285" s="97"/>
      <c r="K285" s="79"/>
      <c r="L285" s="79"/>
      <c r="M285" s="79" t="str">
        <f>Table7281822432404856647280[[#This Row],[DBA]]&amp;" - "&amp;Table7281822432404856647280[[#This Row],[BIN]]&amp;" - "&amp;Table7281822432404856647280[[#This Row],[CAID]]</f>
        <v xml:space="preserve"> -  - </v>
      </c>
      <c r="N285" s="90"/>
    </row>
    <row r="286" spans="8:14" x14ac:dyDescent="0.25">
      <c r="H286" s="91"/>
      <c r="I286" s="91"/>
      <c r="J286" s="97"/>
      <c r="K286" s="79"/>
      <c r="L286" s="79"/>
      <c r="M286" s="79" t="str">
        <f>Table7281822432404856647280[[#This Row],[DBA]]&amp;" - "&amp;Table7281822432404856647280[[#This Row],[BIN]]&amp;" - "&amp;Table7281822432404856647280[[#This Row],[CAID]]</f>
        <v xml:space="preserve"> -  - </v>
      </c>
      <c r="N286" s="90"/>
    </row>
    <row r="287" spans="8:14" x14ac:dyDescent="0.25">
      <c r="H287" s="91"/>
      <c r="I287" s="91"/>
      <c r="J287" s="97"/>
      <c r="K287" s="79"/>
      <c r="L287" s="79"/>
      <c r="M287" s="79" t="str">
        <f>Table7281822432404856647280[[#This Row],[DBA]]&amp;" - "&amp;Table7281822432404856647280[[#This Row],[BIN]]&amp;" - "&amp;Table7281822432404856647280[[#This Row],[CAID]]</f>
        <v xml:space="preserve"> -  - </v>
      </c>
      <c r="N287" s="90"/>
    </row>
    <row r="288" spans="8:14" x14ac:dyDescent="0.25">
      <c r="H288" s="91"/>
      <c r="I288" s="91"/>
      <c r="J288" s="97"/>
      <c r="K288" s="79"/>
      <c r="L288" s="79"/>
      <c r="M288" s="79" t="str">
        <f>Table7281822432404856647280[[#This Row],[DBA]]&amp;" - "&amp;Table7281822432404856647280[[#This Row],[BIN]]&amp;" - "&amp;Table7281822432404856647280[[#This Row],[CAID]]</f>
        <v xml:space="preserve"> -  - </v>
      </c>
      <c r="N288" s="90"/>
    </row>
    <row r="289" spans="8:14" x14ac:dyDescent="0.25">
      <c r="H289" s="91"/>
      <c r="I289" s="91"/>
      <c r="J289" s="97"/>
      <c r="K289" s="79"/>
      <c r="L289" s="79"/>
      <c r="M289" s="79" t="str">
        <f>Table7281822432404856647280[[#This Row],[DBA]]&amp;" - "&amp;Table7281822432404856647280[[#This Row],[BIN]]&amp;" - "&amp;Table7281822432404856647280[[#This Row],[CAID]]</f>
        <v xml:space="preserve"> -  - </v>
      </c>
      <c r="N289" s="90"/>
    </row>
    <row r="290" spans="8:14" x14ac:dyDescent="0.25">
      <c r="H290" s="91"/>
      <c r="I290" s="91"/>
      <c r="J290" s="97"/>
      <c r="K290" s="79"/>
      <c r="L290" s="79"/>
      <c r="M290" s="79" t="str">
        <f>Table7281822432404856647280[[#This Row],[DBA]]&amp;" - "&amp;Table7281822432404856647280[[#This Row],[BIN]]&amp;" - "&amp;Table7281822432404856647280[[#This Row],[CAID]]</f>
        <v xml:space="preserve"> -  - </v>
      </c>
      <c r="N290" s="90"/>
    </row>
    <row r="291" spans="8:14" x14ac:dyDescent="0.25">
      <c r="H291" s="91"/>
      <c r="I291" s="91"/>
      <c r="J291" s="97"/>
      <c r="K291" s="79"/>
      <c r="L291" s="79"/>
      <c r="M291" s="79" t="str">
        <f>Table7281822432404856647280[[#This Row],[DBA]]&amp;" - "&amp;Table7281822432404856647280[[#This Row],[BIN]]&amp;" - "&amp;Table7281822432404856647280[[#This Row],[CAID]]</f>
        <v xml:space="preserve"> -  - </v>
      </c>
      <c r="N291" s="90"/>
    </row>
    <row r="292" spans="8:14" x14ac:dyDescent="0.25">
      <c r="H292" s="91"/>
      <c r="I292" s="91"/>
      <c r="J292" s="97"/>
      <c r="K292" s="79"/>
      <c r="L292" s="79"/>
      <c r="M292" s="79" t="str">
        <f>Table7281822432404856647280[[#This Row],[DBA]]&amp;" - "&amp;Table7281822432404856647280[[#This Row],[BIN]]&amp;" - "&amp;Table7281822432404856647280[[#This Row],[CAID]]</f>
        <v xml:space="preserve"> -  - </v>
      </c>
      <c r="N292" s="90"/>
    </row>
    <row r="293" spans="8:14" x14ac:dyDescent="0.25">
      <c r="H293" s="91"/>
      <c r="I293" s="91"/>
      <c r="J293" s="97"/>
      <c r="K293" s="79"/>
      <c r="L293" s="79"/>
      <c r="M293" s="79" t="str">
        <f>Table7281822432404856647280[[#This Row],[DBA]]&amp;" - "&amp;Table7281822432404856647280[[#This Row],[BIN]]&amp;" - "&amp;Table7281822432404856647280[[#This Row],[CAID]]</f>
        <v xml:space="preserve"> -  - </v>
      </c>
      <c r="N293" s="90"/>
    </row>
    <row r="294" spans="8:14" x14ac:dyDescent="0.25">
      <c r="H294" s="91"/>
      <c r="I294" s="91"/>
      <c r="J294" s="97"/>
      <c r="K294" s="79"/>
      <c r="L294" s="79"/>
      <c r="M294" s="79" t="str">
        <f>Table7281822432404856647280[[#This Row],[DBA]]&amp;" - "&amp;Table7281822432404856647280[[#This Row],[BIN]]&amp;" - "&amp;Table7281822432404856647280[[#This Row],[CAID]]</f>
        <v xml:space="preserve"> -  - </v>
      </c>
      <c r="N294" s="90"/>
    </row>
    <row r="295" spans="8:14" x14ac:dyDescent="0.25">
      <c r="H295" s="91"/>
      <c r="I295" s="91"/>
      <c r="J295" s="97"/>
      <c r="K295" s="79"/>
      <c r="L295" s="79"/>
      <c r="M295" s="79" t="str">
        <f>Table7281822432404856647280[[#This Row],[DBA]]&amp;" - "&amp;Table7281822432404856647280[[#This Row],[BIN]]&amp;" - "&amp;Table7281822432404856647280[[#This Row],[CAID]]</f>
        <v xml:space="preserve"> -  - </v>
      </c>
      <c r="N295" s="90"/>
    </row>
    <row r="296" spans="8:14" x14ac:dyDescent="0.25">
      <c r="H296" s="91"/>
      <c r="I296" s="91"/>
      <c r="J296" s="97"/>
      <c r="K296" s="79"/>
      <c r="L296" s="79"/>
      <c r="M296" s="79" t="str">
        <f>Table7281822432404856647280[[#This Row],[DBA]]&amp;" - "&amp;Table7281822432404856647280[[#This Row],[BIN]]&amp;" - "&amp;Table7281822432404856647280[[#This Row],[CAID]]</f>
        <v xml:space="preserve"> -  - </v>
      </c>
      <c r="N296" s="90"/>
    </row>
    <row r="297" spans="8:14" x14ac:dyDescent="0.25">
      <c r="H297" s="91"/>
      <c r="I297" s="91"/>
      <c r="J297" s="97"/>
      <c r="K297" s="79"/>
      <c r="L297" s="79"/>
      <c r="M297" s="79" t="str">
        <f>Table7281822432404856647280[[#This Row],[DBA]]&amp;" - "&amp;Table7281822432404856647280[[#This Row],[BIN]]&amp;" - "&amp;Table7281822432404856647280[[#This Row],[CAID]]</f>
        <v xml:space="preserve"> -  - </v>
      </c>
      <c r="N297" s="90"/>
    </row>
    <row r="298" spans="8:14" x14ac:dyDescent="0.25">
      <c r="H298" s="91"/>
      <c r="I298" s="91"/>
      <c r="J298" s="97"/>
      <c r="K298" s="79"/>
      <c r="L298" s="79"/>
      <c r="M298" s="79" t="str">
        <f>Table7281822432404856647280[[#This Row],[DBA]]&amp;" - "&amp;Table7281822432404856647280[[#This Row],[BIN]]&amp;" - "&amp;Table7281822432404856647280[[#This Row],[CAID]]</f>
        <v xml:space="preserve"> -  - </v>
      </c>
      <c r="N298" s="90"/>
    </row>
    <row r="299" spans="8:14" x14ac:dyDescent="0.25">
      <c r="H299" s="91"/>
      <c r="I299" s="91"/>
      <c r="J299" s="97"/>
      <c r="K299" s="79"/>
      <c r="L299" s="79"/>
      <c r="M299" s="79" t="str">
        <f>Table7281822432404856647280[[#This Row],[DBA]]&amp;" - "&amp;Table7281822432404856647280[[#This Row],[BIN]]&amp;" - "&amp;Table7281822432404856647280[[#This Row],[CAID]]</f>
        <v xml:space="preserve"> -  - </v>
      </c>
      <c r="N299" s="90"/>
    </row>
    <row r="300" spans="8:14" x14ac:dyDescent="0.25">
      <c r="H300" s="91"/>
      <c r="I300" s="91"/>
      <c r="J300" s="97"/>
      <c r="K300" s="79"/>
      <c r="L300" s="79"/>
      <c r="M300" s="79" t="str">
        <f>Table7281822432404856647280[[#This Row],[DBA]]&amp;" - "&amp;Table7281822432404856647280[[#This Row],[BIN]]&amp;" - "&amp;Table7281822432404856647280[[#This Row],[CAID]]</f>
        <v xml:space="preserve"> -  - </v>
      </c>
      <c r="N300" s="90"/>
    </row>
    <row r="301" spans="8:14" x14ac:dyDescent="0.25">
      <c r="H301" s="91"/>
      <c r="I301" s="91"/>
      <c r="J301" s="97"/>
      <c r="K301" s="79"/>
      <c r="L301" s="79"/>
      <c r="M301" s="79" t="str">
        <f>Table7281822432404856647280[[#This Row],[DBA]]&amp;" - "&amp;Table7281822432404856647280[[#This Row],[BIN]]&amp;" - "&amp;Table7281822432404856647280[[#This Row],[CAID]]</f>
        <v xml:space="preserve"> -  - </v>
      </c>
      <c r="N301" s="90"/>
    </row>
    <row r="302" spans="8:14" x14ac:dyDescent="0.25">
      <c r="H302" s="91"/>
      <c r="I302" s="91"/>
      <c r="J302" s="97"/>
      <c r="K302" s="79"/>
      <c r="L302" s="79"/>
      <c r="M302" s="79" t="str">
        <f>Table7281822432404856647280[[#This Row],[DBA]]&amp;" - "&amp;Table7281822432404856647280[[#This Row],[BIN]]&amp;" - "&amp;Table7281822432404856647280[[#This Row],[CAID]]</f>
        <v xml:space="preserve"> -  - </v>
      </c>
      <c r="N302" s="90"/>
    </row>
    <row r="303" spans="8:14" x14ac:dyDescent="0.25">
      <c r="H303" s="91"/>
      <c r="I303" s="91"/>
      <c r="J303" s="97"/>
      <c r="K303" s="79"/>
      <c r="L303" s="79"/>
      <c r="M303" s="79" t="str">
        <f>Table7281822432404856647280[[#This Row],[DBA]]&amp;" - "&amp;Table7281822432404856647280[[#This Row],[BIN]]&amp;" - "&amp;Table7281822432404856647280[[#This Row],[CAID]]</f>
        <v xml:space="preserve"> -  - </v>
      </c>
      <c r="N303" s="90"/>
    </row>
    <row r="304" spans="8:14" x14ac:dyDescent="0.25">
      <c r="H304" s="91"/>
      <c r="I304" s="91"/>
      <c r="J304" s="97"/>
      <c r="K304" s="79"/>
      <c r="L304" s="79"/>
      <c r="M304" s="79" t="str">
        <f>Table7281822432404856647280[[#This Row],[DBA]]&amp;" - "&amp;Table7281822432404856647280[[#This Row],[BIN]]&amp;" - "&amp;Table7281822432404856647280[[#This Row],[CAID]]</f>
        <v xml:space="preserve"> -  - </v>
      </c>
      <c r="N304" s="90"/>
    </row>
    <row r="305" spans="8:14" x14ac:dyDescent="0.25">
      <c r="H305" s="91"/>
      <c r="I305" s="91"/>
      <c r="J305" s="97"/>
      <c r="K305" s="79"/>
      <c r="L305" s="79"/>
      <c r="M305" s="79" t="str">
        <f>Table7281822432404856647280[[#This Row],[DBA]]&amp;" - "&amp;Table7281822432404856647280[[#This Row],[BIN]]&amp;" - "&amp;Table7281822432404856647280[[#This Row],[CAID]]</f>
        <v xml:space="preserve"> -  - </v>
      </c>
      <c r="N305" s="90"/>
    </row>
    <row r="306" spans="8:14" x14ac:dyDescent="0.25">
      <c r="H306" s="92"/>
      <c r="I306" s="92"/>
      <c r="J306" s="97"/>
      <c r="K306" s="89"/>
      <c r="L306" s="89"/>
      <c r="M306" s="89" t="str">
        <f>Table7281822432404856647280[[#This Row],[DBA]]&amp;" - "&amp;Table7281822432404856647280[[#This Row],[BIN]]&amp;" - "&amp;Table7281822432404856647280[[#This Row],[CAID]]</f>
        <v xml:space="preserve"> -  - </v>
      </c>
      <c r="N306" s="90"/>
    </row>
  </sheetData>
  <mergeCells count="5">
    <mergeCell ref="C4:D4"/>
    <mergeCell ref="C6:D6"/>
    <mergeCell ref="H6:O6"/>
    <mergeCell ref="C2:D2"/>
    <mergeCell ref="C3:D3"/>
  </mergeCells>
  <dataValidations count="11">
    <dataValidation type="list" allowBlank="1" showInputMessage="1" sqref="D15 D20 D25 D30 D35 D40 D10:D11" xr:uid="{8517E35F-D177-4DA1-80C6-08A8E47C8A64}">
      <formula1>INDIRECT(SUBSTITUTE(B10&amp;C10," ",""))</formula1>
    </dataValidation>
    <dataValidation type="list" allowBlank="1" showInputMessage="1" showErrorMessage="1" sqref="C15 C20 C25 C30 C35 C40 C10:C11" xr:uid="{AEF6C264-CDE8-47C2-985C-54883403E78A}">
      <formula1>INDIRECT(B10)</formula1>
    </dataValidation>
    <dataValidation type="list" allowBlank="1" showInputMessage="1" showErrorMessage="1" sqref="B10:B11 B15 B20 B25 B30 B35 B40" xr:uid="{FC3A4AE7-7D23-477C-B81B-3CC43B148CEC}">
      <formula1>Rule</formula1>
    </dataValidation>
    <dataValidation type="textLength" allowBlank="1" showInputMessage="1" showErrorMessage="1" promptTitle="BIN" prompt="The BIN has to be 6 characters only" sqref="H9:H306" xr:uid="{B1F6F44B-FFE8-403A-87BE-5E4DE6FE9984}">
      <formula1>6</formula1>
      <formula2>6</formula2>
    </dataValidation>
    <dataValidation type="textLength" allowBlank="1" showInputMessage="1" showErrorMessage="1" promptTitle="CAID" prompt="CAID cannot be greater than 15 characters" sqref="I9:I306" xr:uid="{4268F93B-06FE-46CB-9550-E6238995EA1D}">
      <formula1>0</formula1>
      <formula2>15</formula2>
    </dataValidation>
    <dataValidation allowBlank="1" showInputMessage="1" showErrorMessage="1" promptTitle="Do not change this cell" prompt="The function attached will create the merchant name.  This is for Verifi Only" sqref="M9:M306" xr:uid="{65528BF7-56FC-4BF1-AA06-A15918439DB9}"/>
    <dataValidation type="textLength" allowBlank="1" showInputMessage="1" showErrorMessage="1" promptTitle="DBA" prompt="DBA can only be up to 20 characters" sqref="L9:L306" xr:uid="{CE2CB211-BC4A-45ED-B23D-5063F84F4B32}">
      <formula1>0</formula1>
      <formula2>20</formula2>
    </dataValidation>
    <dataValidation allowBlank="1" showInputMessage="1" showErrorMessage="1" promptTitle="Merchant Category Code" prompt="This is the Merchant Category Code associated with the BIN/CAID" sqref="K9:K306" xr:uid="{9508C575-69EB-43C6-87F2-23E6192F3E3A}"/>
    <dataValidation allowBlank="1" showInputMessage="1" showErrorMessage="1" promptTitle="Merchant ID" prompt="This cell contains the Merchant ID for the Merchant account.  This will be populated by Verifi" sqref="N9:N306" xr:uid="{DD84912D-5857-4398-AC03-A1CB42A3D2C1}"/>
    <dataValidation allowBlank="1" showInputMessage="1" showErrorMessage="1" promptTitle="ARN (Acquirer Reference Number)" prompt="ARN (Acquirer Reference Number)" sqref="J9:J306" xr:uid="{765425C4-1D4E-4F16-8249-DDDF1FA61403}"/>
    <dataValidation allowBlank="1" showInputMessage="1" showErrorMessage="1" promptTitle="Rule Name" prompt="Rule Name is the rule identifier created by the seller and made available in reporting for insight into why an RDR case_x000a_was accepted. _x000a__x000a_Keep rule names short, explicit, and clear enough to be referenced in RDR communications. _x000a__x000a_" sqref="C6:D6" xr:uid="{B443F7B0-4026-4D7A-96CF-87F58B805899}"/>
  </dataValidations>
  <pageMargins left="0.75" right="0.75" top="0.75" bottom="0.75" header="0.5" footer="0.5"/>
  <pageSetup orientation="portrait" r:id="rId1"/>
  <headerFooter alignWithMargins="0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B1:U205"/>
  <sheetViews>
    <sheetView showGridLines="0" topLeftCell="D23" zoomScale="90" zoomScaleNormal="90" workbookViewId="0">
      <selection activeCell="H32" sqref="H32"/>
    </sheetView>
  </sheetViews>
  <sheetFormatPr defaultColWidth="8.77734375" defaultRowHeight="13.2" x14ac:dyDescent="0.25"/>
  <cols>
    <col min="1" max="1" width="3.44140625" customWidth="1"/>
    <col min="2" max="2" width="26.21875" bestFit="1" customWidth="1"/>
    <col min="3" max="3" width="18.21875" bestFit="1" customWidth="1"/>
    <col min="4" max="4" width="26.21875" bestFit="1" customWidth="1"/>
    <col min="5" max="5" width="2.21875" customWidth="1"/>
    <col min="6" max="6" width="24.44140625" bestFit="1" customWidth="1"/>
    <col min="7" max="7" width="6.21875" style="1" customWidth="1"/>
    <col min="8" max="8" width="53.77734375" bestFit="1" customWidth="1"/>
    <col min="9" max="9" width="2.21875" style="1" customWidth="1"/>
    <col min="10" max="10" width="44.77734375" bestFit="1" customWidth="1"/>
    <col min="11" max="11" width="2.21875" style="1" customWidth="1"/>
    <col min="12" max="12" width="34.77734375" bestFit="1" customWidth="1"/>
    <col min="13" max="13" width="2.21875" style="1" customWidth="1"/>
    <col min="14" max="14" width="44.21875" bestFit="1" customWidth="1"/>
    <col min="15" max="15" width="2.21875" style="1" customWidth="1"/>
    <col min="16" max="16" width="11.21875" bestFit="1" customWidth="1"/>
    <col min="17" max="17" width="2.21875" style="1" customWidth="1"/>
    <col min="18" max="18" width="32.5546875" bestFit="1" customWidth="1"/>
    <col min="21" max="21" width="57.44140625" bestFit="1" customWidth="1"/>
  </cols>
  <sheetData>
    <row r="1" spans="2:18" ht="13.8" x14ac:dyDescent="0.25">
      <c r="H1" s="4"/>
    </row>
    <row r="2" spans="2:18" s="1" customFormat="1" ht="13.8" x14ac:dyDescent="0.25">
      <c r="B2" s="10" t="s">
        <v>12</v>
      </c>
      <c r="C2" s="4"/>
      <c r="D2" s="8" t="s">
        <v>11</v>
      </c>
      <c r="E2" s="9"/>
      <c r="F2" s="9"/>
      <c r="G2" s="4"/>
      <c r="H2" s="11" t="s">
        <v>13</v>
      </c>
      <c r="I2" s="12"/>
      <c r="J2" s="12"/>
      <c r="K2" s="12"/>
      <c r="L2" s="12"/>
    </row>
    <row r="3" spans="2:18" ht="13.8" thickBot="1" x14ac:dyDescent="0.3">
      <c r="R3" s="33" t="s">
        <v>86</v>
      </c>
    </row>
    <row r="4" spans="2:18" s="2" customFormat="1" ht="13.8" thickBot="1" x14ac:dyDescent="0.3">
      <c r="B4" s="19" t="s">
        <v>15</v>
      </c>
      <c r="D4" s="28" t="s">
        <v>27</v>
      </c>
      <c r="F4" s="28" t="s">
        <v>20</v>
      </c>
      <c r="H4" s="5" t="s">
        <v>39</v>
      </c>
      <c r="J4" s="2" t="s">
        <v>40</v>
      </c>
      <c r="L4" s="2" t="s">
        <v>43</v>
      </c>
      <c r="R4" s="29" t="s">
        <v>87</v>
      </c>
    </row>
    <row r="5" spans="2:18" x14ac:dyDescent="0.25">
      <c r="B5" s="5" t="s">
        <v>27</v>
      </c>
      <c r="D5" s="5" t="s">
        <v>30</v>
      </c>
      <c r="F5" s="5" t="s">
        <v>31</v>
      </c>
      <c r="H5" s="5"/>
      <c r="J5" s="5" t="s">
        <v>25</v>
      </c>
      <c r="L5" s="5" t="s">
        <v>16</v>
      </c>
      <c r="R5" s="29" t="s">
        <v>88</v>
      </c>
    </row>
    <row r="6" spans="2:18" x14ac:dyDescent="0.25">
      <c r="B6" s="7" t="s">
        <v>20</v>
      </c>
      <c r="D6" s="7" t="s">
        <v>31</v>
      </c>
      <c r="F6" s="7" t="s">
        <v>32</v>
      </c>
      <c r="H6" s="7"/>
      <c r="J6" s="7" t="s">
        <v>26</v>
      </c>
      <c r="L6" s="7" t="s">
        <v>17</v>
      </c>
      <c r="R6" s="29" t="s">
        <v>89</v>
      </c>
    </row>
    <row r="7" spans="2:18" ht="13.8" thickBot="1" x14ac:dyDescent="0.3">
      <c r="B7" s="14" t="s">
        <v>18</v>
      </c>
      <c r="D7" s="14" t="s">
        <v>34</v>
      </c>
      <c r="F7" s="7" t="s">
        <v>33</v>
      </c>
      <c r="H7" s="6"/>
      <c r="J7" s="6">
        <v>888</v>
      </c>
      <c r="L7" s="6"/>
      <c r="R7" s="29" t="s">
        <v>90</v>
      </c>
    </row>
    <row r="8" spans="2:18" ht="13.8" thickBot="1" x14ac:dyDescent="0.3">
      <c r="B8" s="14" t="s">
        <v>29</v>
      </c>
      <c r="D8" s="25" t="s">
        <v>324</v>
      </c>
      <c r="F8" s="68" t="s">
        <v>324</v>
      </c>
      <c r="J8" s="6"/>
      <c r="R8" s="29" t="s">
        <v>91</v>
      </c>
    </row>
    <row r="9" spans="2:18" ht="13.8" thickBot="1" x14ac:dyDescent="0.3">
      <c r="B9" s="25" t="s">
        <v>22</v>
      </c>
      <c r="D9" s="25" t="s">
        <v>325</v>
      </c>
      <c r="F9" s="69" t="s">
        <v>325</v>
      </c>
      <c r="H9" s="16" t="s">
        <v>43</v>
      </c>
      <c r="R9" s="29" t="s">
        <v>92</v>
      </c>
    </row>
    <row r="10" spans="2:18" ht="13.8" thickBot="1" x14ac:dyDescent="0.3">
      <c r="B10" s="14" t="s">
        <v>23</v>
      </c>
      <c r="D10" s="14" t="s">
        <v>37</v>
      </c>
      <c r="F10" s="14" t="s">
        <v>35</v>
      </c>
      <c r="H10" s="16"/>
      <c r="R10" s="29" t="s">
        <v>93</v>
      </c>
    </row>
    <row r="11" spans="2:18" ht="13.8" thickBot="1" x14ac:dyDescent="0.3">
      <c r="B11" s="27" t="s">
        <v>44</v>
      </c>
      <c r="D11" s="15" t="s">
        <v>38</v>
      </c>
      <c r="F11" s="15" t="s">
        <v>36</v>
      </c>
      <c r="I11" s="2"/>
      <c r="J11" s="2" t="s">
        <v>42</v>
      </c>
      <c r="K11" s="2"/>
      <c r="L11" s="2" t="s">
        <v>4</v>
      </c>
      <c r="R11" s="29" t="s">
        <v>94</v>
      </c>
    </row>
    <row r="12" spans="2:18" ht="13.8" thickBot="1" x14ac:dyDescent="0.3">
      <c r="F12" s="15" t="s">
        <v>37</v>
      </c>
      <c r="J12" s="5" t="s">
        <v>0</v>
      </c>
      <c r="L12" s="5" t="s">
        <v>9</v>
      </c>
      <c r="R12" s="29" t="s">
        <v>95</v>
      </c>
    </row>
    <row r="13" spans="2:18" ht="13.8" thickBot="1" x14ac:dyDescent="0.3">
      <c r="J13" s="7" t="s">
        <v>7</v>
      </c>
      <c r="L13" s="7" t="s">
        <v>1</v>
      </c>
      <c r="R13" s="29" t="s">
        <v>96</v>
      </c>
    </row>
    <row r="14" spans="2:18" ht="13.8" thickBot="1" x14ac:dyDescent="0.3">
      <c r="D14" s="18" t="s">
        <v>28</v>
      </c>
      <c r="J14" s="6" t="s">
        <v>14</v>
      </c>
      <c r="L14" s="7" t="s">
        <v>10</v>
      </c>
    </row>
    <row r="15" spans="2:18" ht="13.8" thickBot="1" x14ac:dyDescent="0.3">
      <c r="D15" s="5" t="s">
        <v>31</v>
      </c>
      <c r="L15" s="6" t="s">
        <v>2</v>
      </c>
    </row>
    <row r="16" spans="2:18" x14ac:dyDescent="0.25">
      <c r="D16" s="7" t="s">
        <v>32</v>
      </c>
    </row>
    <row r="17" spans="4:18" ht="13.8" thickBot="1" x14ac:dyDescent="0.3">
      <c r="D17" s="7" t="s">
        <v>33</v>
      </c>
      <c r="J17" s="2" t="s">
        <v>41</v>
      </c>
    </row>
    <row r="18" spans="4:18" x14ac:dyDescent="0.25">
      <c r="D18" s="69" t="s">
        <v>324</v>
      </c>
      <c r="J18" s="5" t="s">
        <v>3</v>
      </c>
    </row>
    <row r="19" spans="4:18" x14ac:dyDescent="0.25">
      <c r="D19" s="69" t="s">
        <v>325</v>
      </c>
      <c r="H19" s="60" t="b">
        <v>1</v>
      </c>
      <c r="J19" s="7" t="s">
        <v>5</v>
      </c>
    </row>
    <row r="20" spans="4:18" x14ac:dyDescent="0.25">
      <c r="D20" s="14" t="s">
        <v>35</v>
      </c>
      <c r="H20" s="60" t="b">
        <v>0</v>
      </c>
      <c r="J20" s="7" t="s">
        <v>6</v>
      </c>
    </row>
    <row r="21" spans="4:18" ht="13.8" thickBot="1" x14ac:dyDescent="0.3">
      <c r="D21" s="14" t="s">
        <v>36</v>
      </c>
      <c r="J21" s="6" t="s">
        <v>8</v>
      </c>
    </row>
    <row r="22" spans="4:18" ht="13.8" thickBot="1" x14ac:dyDescent="0.3">
      <c r="D22" s="15" t="s">
        <v>37</v>
      </c>
    </row>
    <row r="24" spans="4:18" ht="13.8" thickBot="1" x14ac:dyDescent="0.3"/>
    <row r="25" spans="4:18" ht="13.8" thickBot="1" x14ac:dyDescent="0.3">
      <c r="D25" s="18" t="s">
        <v>18</v>
      </c>
      <c r="F25" s="18" t="s">
        <v>22</v>
      </c>
      <c r="H25" s="104" t="s">
        <v>335</v>
      </c>
      <c r="J25" s="24" t="s">
        <v>66</v>
      </c>
      <c r="L25" s="24" t="s">
        <v>67</v>
      </c>
      <c r="N25" s="23" t="s">
        <v>68</v>
      </c>
    </row>
    <row r="26" spans="4:18" ht="13.8" thickBot="1" x14ac:dyDescent="0.3">
      <c r="D26" s="5" t="s">
        <v>31</v>
      </c>
      <c r="F26" s="5" t="s">
        <v>30</v>
      </c>
      <c r="H26" s="104" t="s">
        <v>336</v>
      </c>
      <c r="J26" s="5" t="s">
        <v>45</v>
      </c>
      <c r="L26" s="5" t="s">
        <v>45</v>
      </c>
      <c r="N26" s="5" t="s">
        <v>45</v>
      </c>
      <c r="R26" s="18" t="s">
        <v>29</v>
      </c>
    </row>
    <row r="27" spans="4:18" x14ac:dyDescent="0.25">
      <c r="D27" s="7" t="s">
        <v>32</v>
      </c>
      <c r="F27" s="7" t="s">
        <v>31</v>
      </c>
      <c r="H27" s="22" t="s">
        <v>337</v>
      </c>
      <c r="J27" s="7" t="s">
        <v>46</v>
      </c>
      <c r="L27" s="7" t="s">
        <v>46</v>
      </c>
      <c r="N27" s="7" t="s">
        <v>46</v>
      </c>
      <c r="R27" s="5" t="s">
        <v>57</v>
      </c>
    </row>
    <row r="28" spans="4:18" x14ac:dyDescent="0.25">
      <c r="D28" s="7" t="s">
        <v>33</v>
      </c>
      <c r="F28" s="25" t="s">
        <v>70</v>
      </c>
      <c r="H28" s="22" t="s">
        <v>338</v>
      </c>
      <c r="J28" s="7" t="s">
        <v>47</v>
      </c>
      <c r="L28" s="7" t="s">
        <v>47</v>
      </c>
      <c r="N28" s="7" t="s">
        <v>47</v>
      </c>
      <c r="R28" s="7" t="s">
        <v>97</v>
      </c>
    </row>
    <row r="29" spans="4:18" ht="13.8" thickBot="1" x14ac:dyDescent="0.3">
      <c r="D29" s="14" t="s">
        <v>35</v>
      </c>
      <c r="F29" s="25" t="s">
        <v>324</v>
      </c>
      <c r="H29" s="27" t="s">
        <v>346</v>
      </c>
      <c r="J29" s="7" t="s">
        <v>48</v>
      </c>
      <c r="L29" s="7" t="s">
        <v>48</v>
      </c>
      <c r="N29" s="7" t="s">
        <v>48</v>
      </c>
      <c r="R29" s="7" t="s">
        <v>98</v>
      </c>
    </row>
    <row r="30" spans="4:18" x14ac:dyDescent="0.25">
      <c r="D30" s="14" t="s">
        <v>36</v>
      </c>
      <c r="F30" s="25" t="s">
        <v>325</v>
      </c>
      <c r="J30" s="7" t="s">
        <v>49</v>
      </c>
      <c r="L30" s="7" t="s">
        <v>49</v>
      </c>
      <c r="N30" s="7" t="s">
        <v>49</v>
      </c>
      <c r="R30" s="7" t="s">
        <v>99</v>
      </c>
    </row>
    <row r="31" spans="4:18" ht="13.8" thickBot="1" x14ac:dyDescent="0.3">
      <c r="D31" s="15" t="s">
        <v>37</v>
      </c>
      <c r="F31" s="14" t="s">
        <v>37</v>
      </c>
      <c r="J31" s="7" t="s">
        <v>50</v>
      </c>
      <c r="L31" s="7" t="s">
        <v>50</v>
      </c>
      <c r="N31" s="7" t="s">
        <v>50</v>
      </c>
      <c r="R31" s="7" t="s">
        <v>100</v>
      </c>
    </row>
    <row r="32" spans="4:18" ht="13.8" thickBot="1" x14ac:dyDescent="0.3">
      <c r="F32" s="27" t="s">
        <v>38</v>
      </c>
      <c r="J32" s="7" t="s">
        <v>51</v>
      </c>
      <c r="L32" s="7" t="s">
        <v>51</v>
      </c>
      <c r="N32" s="7" t="s">
        <v>51</v>
      </c>
      <c r="R32" s="7" t="s">
        <v>101</v>
      </c>
    </row>
    <row r="33" spans="3:21" ht="13.8" thickBot="1" x14ac:dyDescent="0.3">
      <c r="D33" s="23" t="s">
        <v>44</v>
      </c>
      <c r="J33" s="7" t="s">
        <v>52</v>
      </c>
      <c r="L33" s="7" t="s">
        <v>52</v>
      </c>
      <c r="N33" s="7" t="s">
        <v>52</v>
      </c>
      <c r="R33" s="7" t="s">
        <v>102</v>
      </c>
      <c r="U33" s="28" t="s">
        <v>323</v>
      </c>
    </row>
    <row r="34" spans="3:21" ht="13.8" x14ac:dyDescent="0.25">
      <c r="D34" s="5" t="s">
        <v>30</v>
      </c>
      <c r="J34" s="7" t="s">
        <v>53</v>
      </c>
      <c r="L34" s="7" t="s">
        <v>53</v>
      </c>
      <c r="N34" s="7" t="s">
        <v>53</v>
      </c>
      <c r="R34" s="7" t="s">
        <v>49</v>
      </c>
      <c r="U34" s="65" t="s">
        <v>297</v>
      </c>
    </row>
    <row r="35" spans="3:21" ht="14.4" thickBot="1" x14ac:dyDescent="0.3">
      <c r="D35" s="7" t="s">
        <v>31</v>
      </c>
      <c r="J35" s="7" t="s">
        <v>54</v>
      </c>
      <c r="L35" s="7" t="s">
        <v>54</v>
      </c>
      <c r="N35" s="7" t="s">
        <v>54</v>
      </c>
      <c r="R35" s="7" t="s">
        <v>103</v>
      </c>
      <c r="U35" s="66" t="s">
        <v>298</v>
      </c>
    </row>
    <row r="36" spans="3:21" ht="14.4" thickBot="1" x14ac:dyDescent="0.3">
      <c r="D36" s="26" t="s">
        <v>70</v>
      </c>
      <c r="F36" s="23" t="s">
        <v>23</v>
      </c>
      <c r="J36" s="7" t="s">
        <v>55</v>
      </c>
      <c r="L36" s="7" t="s">
        <v>55</v>
      </c>
      <c r="N36" s="7" t="s">
        <v>55</v>
      </c>
      <c r="R36" s="7" t="s">
        <v>104</v>
      </c>
      <c r="U36" s="66" t="s">
        <v>299</v>
      </c>
    </row>
    <row r="37" spans="3:21" ht="13.8" x14ac:dyDescent="0.25">
      <c r="C37" s="5" t="s">
        <v>18</v>
      </c>
      <c r="D37" s="70" t="s">
        <v>324</v>
      </c>
      <c r="F37" s="5" t="s">
        <v>30</v>
      </c>
      <c r="J37" s="14" t="s">
        <v>56</v>
      </c>
      <c r="L37" s="14" t="s">
        <v>56</v>
      </c>
      <c r="N37" s="14" t="s">
        <v>56</v>
      </c>
      <c r="R37" s="7" t="s">
        <v>105</v>
      </c>
      <c r="U37" s="66" t="s">
        <v>300</v>
      </c>
    </row>
    <row r="38" spans="3:21" ht="14.4" thickBot="1" x14ac:dyDescent="0.3">
      <c r="C38" s="7" t="s">
        <v>19</v>
      </c>
      <c r="D38" s="26" t="s">
        <v>325</v>
      </c>
      <c r="F38" s="22" t="s">
        <v>31</v>
      </c>
      <c r="J38" s="15" t="s">
        <v>57</v>
      </c>
      <c r="L38" s="15" t="s">
        <v>57</v>
      </c>
      <c r="N38" s="15" t="s">
        <v>57</v>
      </c>
      <c r="R38" s="7" t="s">
        <v>106</v>
      </c>
      <c r="U38" s="66" t="s">
        <v>301</v>
      </c>
    </row>
    <row r="39" spans="3:21" ht="14.4" thickBot="1" x14ac:dyDescent="0.3">
      <c r="C39" s="7" t="s">
        <v>20</v>
      </c>
      <c r="D39" s="20" t="s">
        <v>37</v>
      </c>
      <c r="F39" s="25" t="s">
        <v>70</v>
      </c>
      <c r="H39" s="13"/>
      <c r="R39" s="7" t="s">
        <v>107</v>
      </c>
      <c r="U39" s="66" t="s">
        <v>302</v>
      </c>
    </row>
    <row r="40" spans="3:21" ht="14.4" thickBot="1" x14ac:dyDescent="0.3">
      <c r="C40" s="7" t="s">
        <v>21</v>
      </c>
      <c r="D40" s="21" t="s">
        <v>38</v>
      </c>
      <c r="F40" s="25" t="s">
        <v>324</v>
      </c>
      <c r="H40" s="17" t="s">
        <v>58</v>
      </c>
      <c r="J40" s="23" t="s">
        <v>69</v>
      </c>
      <c r="L40" s="23" t="s">
        <v>71</v>
      </c>
      <c r="N40" s="23" t="s">
        <v>72</v>
      </c>
      <c r="R40" s="7" t="s">
        <v>108</v>
      </c>
      <c r="U40" s="66" t="s">
        <v>303</v>
      </c>
    </row>
    <row r="41" spans="3:21" ht="13.8" x14ac:dyDescent="0.25">
      <c r="C41" s="7" t="s">
        <v>22</v>
      </c>
      <c r="F41" s="25" t="s">
        <v>325</v>
      </c>
      <c r="H41" s="18" t="s">
        <v>59</v>
      </c>
      <c r="J41" s="5" t="s">
        <v>45</v>
      </c>
      <c r="L41" s="5" t="s">
        <v>45</v>
      </c>
      <c r="N41" s="5" t="s">
        <v>45</v>
      </c>
      <c r="R41" s="7" t="s">
        <v>109</v>
      </c>
      <c r="U41" s="66" t="s">
        <v>304</v>
      </c>
    </row>
    <row r="42" spans="3:21" ht="13.8" x14ac:dyDescent="0.25">
      <c r="C42" s="7" t="s">
        <v>23</v>
      </c>
      <c r="F42" s="25" t="s">
        <v>37</v>
      </c>
      <c r="H42" s="14" t="s">
        <v>60</v>
      </c>
      <c r="J42" s="7" t="s">
        <v>46</v>
      </c>
      <c r="L42" s="7" t="s">
        <v>46</v>
      </c>
      <c r="N42" s="7" t="s">
        <v>46</v>
      </c>
      <c r="R42" s="7" t="s">
        <v>110</v>
      </c>
      <c r="U42" s="66" t="s">
        <v>305</v>
      </c>
    </row>
    <row r="43" spans="3:21" ht="14.4" thickBot="1" x14ac:dyDescent="0.3">
      <c r="C43" s="6" t="s">
        <v>24</v>
      </c>
      <c r="F43" s="27" t="s">
        <v>38</v>
      </c>
      <c r="H43" s="14" t="s">
        <v>61</v>
      </c>
      <c r="J43" s="7" t="s">
        <v>47</v>
      </c>
      <c r="L43" s="7" t="s">
        <v>47</v>
      </c>
      <c r="N43" s="7" t="s">
        <v>47</v>
      </c>
      <c r="R43" s="7" t="s">
        <v>111</v>
      </c>
      <c r="U43" s="66" t="s">
        <v>306</v>
      </c>
    </row>
    <row r="44" spans="3:21" ht="14.4" thickBot="1" x14ac:dyDescent="0.3">
      <c r="H44" s="15" t="s">
        <v>62</v>
      </c>
      <c r="J44" s="7" t="s">
        <v>48</v>
      </c>
      <c r="L44" s="7" t="s">
        <v>48</v>
      </c>
      <c r="N44" s="7" t="s">
        <v>48</v>
      </c>
      <c r="R44" s="7" t="s">
        <v>112</v>
      </c>
      <c r="U44" s="66" t="s">
        <v>307</v>
      </c>
    </row>
    <row r="45" spans="3:21" ht="14.4" thickBot="1" x14ac:dyDescent="0.3">
      <c r="J45" s="7" t="s">
        <v>49</v>
      </c>
      <c r="L45" s="7" t="s">
        <v>49</v>
      </c>
      <c r="N45" s="7" t="s">
        <v>49</v>
      </c>
      <c r="R45" s="7" t="s">
        <v>113</v>
      </c>
      <c r="U45" s="66" t="s">
        <v>308</v>
      </c>
    </row>
    <row r="46" spans="3:21" ht="14.4" thickBot="1" x14ac:dyDescent="0.3">
      <c r="H46" s="24" t="s">
        <v>75</v>
      </c>
      <c r="J46" s="7" t="s">
        <v>50</v>
      </c>
      <c r="L46" s="7" t="s">
        <v>50</v>
      </c>
      <c r="N46" s="7" t="s">
        <v>50</v>
      </c>
      <c r="R46" s="7" t="s">
        <v>114</v>
      </c>
      <c r="U46" s="66" t="s">
        <v>309</v>
      </c>
    </row>
    <row r="47" spans="3:21" ht="13.8" x14ac:dyDescent="0.25">
      <c r="H47" s="18" t="s">
        <v>59</v>
      </c>
      <c r="J47" s="7" t="s">
        <v>51</v>
      </c>
      <c r="L47" s="7" t="s">
        <v>51</v>
      </c>
      <c r="N47" s="7" t="s">
        <v>51</v>
      </c>
      <c r="R47" s="7" t="s">
        <v>115</v>
      </c>
      <c r="U47" s="66" t="s">
        <v>310</v>
      </c>
    </row>
    <row r="48" spans="3:21" ht="13.8" x14ac:dyDescent="0.25">
      <c r="H48" s="14" t="s">
        <v>60</v>
      </c>
      <c r="J48" s="7" t="s">
        <v>52</v>
      </c>
      <c r="L48" s="7" t="s">
        <v>52</v>
      </c>
      <c r="N48" s="7" t="s">
        <v>52</v>
      </c>
      <c r="R48" s="7" t="s">
        <v>116</v>
      </c>
      <c r="U48" s="66" t="s">
        <v>311</v>
      </c>
    </row>
    <row r="49" spans="6:21" ht="13.8" x14ac:dyDescent="0.25">
      <c r="H49" s="14" t="s">
        <v>61</v>
      </c>
      <c r="J49" s="7" t="s">
        <v>53</v>
      </c>
      <c r="L49" s="7" t="s">
        <v>53</v>
      </c>
      <c r="N49" s="7" t="s">
        <v>53</v>
      </c>
      <c r="R49" s="7" t="s">
        <v>117</v>
      </c>
      <c r="U49" s="66" t="s">
        <v>312</v>
      </c>
    </row>
    <row r="50" spans="6:21" ht="14.4" thickBot="1" x14ac:dyDescent="0.3">
      <c r="H50" s="15" t="s">
        <v>62</v>
      </c>
      <c r="J50" s="7" t="s">
        <v>54</v>
      </c>
      <c r="L50" s="7" t="s">
        <v>54</v>
      </c>
      <c r="N50" s="7" t="s">
        <v>54</v>
      </c>
      <c r="R50" s="7" t="s">
        <v>118</v>
      </c>
      <c r="U50" s="66" t="s">
        <v>313</v>
      </c>
    </row>
    <row r="51" spans="6:21" ht="14.4" thickBot="1" x14ac:dyDescent="0.3">
      <c r="J51" s="7" t="s">
        <v>55</v>
      </c>
      <c r="L51" s="7" t="s">
        <v>55</v>
      </c>
      <c r="N51" s="7" t="s">
        <v>55</v>
      </c>
      <c r="R51" s="7" t="s">
        <v>119</v>
      </c>
      <c r="U51" s="66" t="s">
        <v>314</v>
      </c>
    </row>
    <row r="52" spans="6:21" ht="14.4" thickBot="1" x14ac:dyDescent="0.3">
      <c r="H52" s="23" t="s">
        <v>76</v>
      </c>
      <c r="J52" s="14" t="s">
        <v>56</v>
      </c>
      <c r="L52" s="14" t="s">
        <v>56</v>
      </c>
      <c r="N52" s="14" t="s">
        <v>56</v>
      </c>
      <c r="R52" s="7" t="s">
        <v>120</v>
      </c>
      <c r="U52" s="66" t="s">
        <v>315</v>
      </c>
    </row>
    <row r="53" spans="6:21" ht="14.4" thickBot="1" x14ac:dyDescent="0.3">
      <c r="H53" s="18" t="s">
        <v>59</v>
      </c>
      <c r="J53" s="15" t="s">
        <v>57</v>
      </c>
      <c r="L53" s="15" t="s">
        <v>57</v>
      </c>
      <c r="N53" s="15" t="s">
        <v>57</v>
      </c>
      <c r="R53" s="7" t="s">
        <v>46</v>
      </c>
      <c r="U53" s="66" t="s">
        <v>316</v>
      </c>
    </row>
    <row r="54" spans="6:21" ht="14.4" thickBot="1" x14ac:dyDescent="0.3">
      <c r="F54" s="18" t="s">
        <v>29</v>
      </c>
      <c r="H54" s="14" t="s">
        <v>60</v>
      </c>
      <c r="R54" s="7" t="s">
        <v>121</v>
      </c>
      <c r="U54" s="66" t="s">
        <v>317</v>
      </c>
    </row>
    <row r="55" spans="6:21" ht="14.4" thickBot="1" x14ac:dyDescent="0.3">
      <c r="F55" s="5" t="s">
        <v>30</v>
      </c>
      <c r="H55" s="14" t="s">
        <v>61</v>
      </c>
      <c r="J55" s="23" t="s">
        <v>73</v>
      </c>
      <c r="L55" s="23" t="s">
        <v>74</v>
      </c>
      <c r="R55" s="7" t="s">
        <v>122</v>
      </c>
      <c r="U55" s="66" t="s">
        <v>318</v>
      </c>
    </row>
    <row r="56" spans="6:21" ht="14.4" thickBot="1" x14ac:dyDescent="0.3">
      <c r="F56" s="22" t="s">
        <v>31</v>
      </c>
      <c r="H56" s="15" t="s">
        <v>62</v>
      </c>
      <c r="J56" s="5" t="s">
        <v>45</v>
      </c>
      <c r="L56" s="5" t="s">
        <v>45</v>
      </c>
      <c r="R56" s="7" t="s">
        <v>53</v>
      </c>
      <c r="U56" s="66" t="s">
        <v>319</v>
      </c>
    </row>
    <row r="57" spans="6:21" ht="14.4" thickBot="1" x14ac:dyDescent="0.3">
      <c r="F57" s="25" t="s">
        <v>70</v>
      </c>
      <c r="J57" s="7" t="s">
        <v>46</v>
      </c>
      <c r="L57" s="7" t="s">
        <v>46</v>
      </c>
      <c r="R57" s="7" t="s">
        <v>123</v>
      </c>
      <c r="U57" s="66" t="s">
        <v>320</v>
      </c>
    </row>
    <row r="58" spans="6:21" ht="14.4" thickBot="1" x14ac:dyDescent="0.3">
      <c r="F58" s="22" t="s">
        <v>324</v>
      </c>
      <c r="H58" s="23" t="s">
        <v>77</v>
      </c>
      <c r="J58" s="7" t="s">
        <v>47</v>
      </c>
      <c r="L58" s="7" t="s">
        <v>47</v>
      </c>
      <c r="R58" s="7" t="s">
        <v>124</v>
      </c>
      <c r="U58" s="66" t="s">
        <v>321</v>
      </c>
    </row>
    <row r="59" spans="6:21" ht="14.4" thickBot="1" x14ac:dyDescent="0.3">
      <c r="F59" s="22" t="s">
        <v>325</v>
      </c>
      <c r="H59" s="18" t="s">
        <v>59</v>
      </c>
      <c r="J59" s="7" t="s">
        <v>48</v>
      </c>
      <c r="L59" s="7" t="s">
        <v>48</v>
      </c>
      <c r="R59" s="7" t="s">
        <v>125</v>
      </c>
      <c r="U59" s="67" t="s">
        <v>322</v>
      </c>
    </row>
    <row r="60" spans="6:21" x14ac:dyDescent="0.25">
      <c r="F60" s="25" t="s">
        <v>37</v>
      </c>
      <c r="H60" s="14" t="s">
        <v>60</v>
      </c>
      <c r="J60" s="7" t="s">
        <v>49</v>
      </c>
      <c r="L60" s="7" t="s">
        <v>49</v>
      </c>
      <c r="R60" s="7" t="s">
        <v>126</v>
      </c>
    </row>
    <row r="61" spans="6:21" ht="13.8" thickBot="1" x14ac:dyDescent="0.3">
      <c r="F61" s="15" t="s">
        <v>38</v>
      </c>
      <c r="H61" s="14" t="s">
        <v>61</v>
      </c>
      <c r="J61" s="7" t="s">
        <v>50</v>
      </c>
      <c r="L61" s="7" t="s">
        <v>50</v>
      </c>
      <c r="R61" s="7" t="s">
        <v>127</v>
      </c>
    </row>
    <row r="62" spans="6:21" ht="13.8" thickBot="1" x14ac:dyDescent="0.3">
      <c r="H62" s="15" t="s">
        <v>62</v>
      </c>
      <c r="J62" s="7" t="s">
        <v>51</v>
      </c>
      <c r="L62" s="7" t="s">
        <v>51</v>
      </c>
      <c r="R62" s="7" t="s">
        <v>128</v>
      </c>
    </row>
    <row r="63" spans="6:21" ht="13.8" thickBot="1" x14ac:dyDescent="0.3">
      <c r="J63" s="7" t="s">
        <v>52</v>
      </c>
      <c r="L63" s="7" t="s">
        <v>52</v>
      </c>
      <c r="R63" s="7" t="s">
        <v>129</v>
      </c>
    </row>
    <row r="64" spans="6:21" ht="13.8" thickBot="1" x14ac:dyDescent="0.3">
      <c r="H64" s="23" t="s">
        <v>78</v>
      </c>
      <c r="J64" s="7" t="s">
        <v>53</v>
      </c>
      <c r="L64" s="7" t="s">
        <v>53</v>
      </c>
      <c r="R64" s="7" t="s">
        <v>130</v>
      </c>
    </row>
    <row r="65" spans="8:18" x14ac:dyDescent="0.25">
      <c r="H65" s="18" t="s">
        <v>59</v>
      </c>
      <c r="J65" s="7" t="s">
        <v>54</v>
      </c>
      <c r="L65" s="7" t="s">
        <v>54</v>
      </c>
      <c r="R65" s="7" t="s">
        <v>131</v>
      </c>
    </row>
    <row r="66" spans="8:18" x14ac:dyDescent="0.25">
      <c r="H66" s="14" t="s">
        <v>60</v>
      </c>
      <c r="J66" s="7" t="s">
        <v>55</v>
      </c>
      <c r="L66" s="7" t="s">
        <v>55</v>
      </c>
      <c r="R66" s="7" t="s">
        <v>132</v>
      </c>
    </row>
    <row r="67" spans="8:18" x14ac:dyDescent="0.25">
      <c r="H67" s="14" t="s">
        <v>61</v>
      </c>
      <c r="J67" s="14" t="s">
        <v>56</v>
      </c>
      <c r="L67" s="14" t="s">
        <v>56</v>
      </c>
      <c r="R67" s="7" t="s">
        <v>55</v>
      </c>
    </row>
    <row r="68" spans="8:18" ht="13.8" thickBot="1" x14ac:dyDescent="0.3">
      <c r="H68" s="15" t="s">
        <v>62</v>
      </c>
      <c r="J68" s="15" t="s">
        <v>57</v>
      </c>
      <c r="L68" s="15" t="s">
        <v>57</v>
      </c>
      <c r="R68" s="7" t="s">
        <v>133</v>
      </c>
    </row>
    <row r="69" spans="8:18" ht="13.8" thickBot="1" x14ac:dyDescent="0.3">
      <c r="R69" s="7" t="s">
        <v>134</v>
      </c>
    </row>
    <row r="70" spans="8:18" ht="13.8" thickBot="1" x14ac:dyDescent="0.3">
      <c r="H70" s="23" t="s">
        <v>79</v>
      </c>
      <c r="R70" s="7" t="s">
        <v>135</v>
      </c>
    </row>
    <row r="71" spans="8:18" x14ac:dyDescent="0.25">
      <c r="H71" s="18" t="s">
        <v>59</v>
      </c>
      <c r="R71" s="7" t="s">
        <v>136</v>
      </c>
    </row>
    <row r="72" spans="8:18" x14ac:dyDescent="0.25">
      <c r="H72" s="14" t="s">
        <v>60</v>
      </c>
      <c r="R72" s="7" t="s">
        <v>137</v>
      </c>
    </row>
    <row r="73" spans="8:18" x14ac:dyDescent="0.25">
      <c r="H73" s="14" t="s">
        <v>61</v>
      </c>
      <c r="R73" s="7" t="s">
        <v>138</v>
      </c>
    </row>
    <row r="74" spans="8:18" ht="13.8" thickBot="1" x14ac:dyDescent="0.3">
      <c r="H74" s="15" t="s">
        <v>62</v>
      </c>
      <c r="R74" s="7" t="s">
        <v>139</v>
      </c>
    </row>
    <row r="75" spans="8:18" ht="13.8" thickBot="1" x14ac:dyDescent="0.3">
      <c r="R75" s="7" t="s">
        <v>48</v>
      </c>
    </row>
    <row r="76" spans="8:18" ht="13.8" thickBot="1" x14ac:dyDescent="0.3">
      <c r="H76" s="23" t="s">
        <v>80</v>
      </c>
      <c r="R76" s="7" t="s">
        <v>140</v>
      </c>
    </row>
    <row r="77" spans="8:18" x14ac:dyDescent="0.25">
      <c r="H77" s="18" t="s">
        <v>59</v>
      </c>
      <c r="R77" s="7" t="s">
        <v>141</v>
      </c>
    </row>
    <row r="78" spans="8:18" x14ac:dyDescent="0.25">
      <c r="H78" s="14" t="s">
        <v>60</v>
      </c>
      <c r="R78" s="7" t="s">
        <v>47</v>
      </c>
    </row>
    <row r="79" spans="8:18" x14ac:dyDescent="0.25">
      <c r="H79" s="14" t="s">
        <v>61</v>
      </c>
      <c r="R79" s="7" t="s">
        <v>142</v>
      </c>
    </row>
    <row r="80" spans="8:18" ht="13.8" thickBot="1" x14ac:dyDescent="0.3">
      <c r="H80" s="15" t="s">
        <v>62</v>
      </c>
      <c r="R80" s="7" t="s">
        <v>143</v>
      </c>
    </row>
    <row r="81" spans="8:18" ht="13.8" thickBot="1" x14ac:dyDescent="0.3">
      <c r="R81" s="7" t="s">
        <v>144</v>
      </c>
    </row>
    <row r="82" spans="8:18" ht="13.8" thickBot="1" x14ac:dyDescent="0.3">
      <c r="H82" s="23" t="s">
        <v>81</v>
      </c>
      <c r="R82" s="7" t="s">
        <v>145</v>
      </c>
    </row>
    <row r="83" spans="8:18" x14ac:dyDescent="0.25">
      <c r="H83" s="18" t="s">
        <v>59</v>
      </c>
      <c r="R83" s="7" t="s">
        <v>146</v>
      </c>
    </row>
    <row r="84" spans="8:18" x14ac:dyDescent="0.25">
      <c r="H84" s="14" t="s">
        <v>60</v>
      </c>
      <c r="R84" s="7" t="s">
        <v>147</v>
      </c>
    </row>
    <row r="85" spans="8:18" x14ac:dyDescent="0.25">
      <c r="H85" s="14" t="s">
        <v>61</v>
      </c>
      <c r="R85" s="7" t="s">
        <v>148</v>
      </c>
    </row>
    <row r="86" spans="8:18" ht="13.8" thickBot="1" x14ac:dyDescent="0.3">
      <c r="H86" s="15" t="s">
        <v>62</v>
      </c>
      <c r="R86" s="7" t="s">
        <v>149</v>
      </c>
    </row>
    <row r="87" spans="8:18" ht="13.8" thickBot="1" x14ac:dyDescent="0.3">
      <c r="R87" s="7" t="s">
        <v>150</v>
      </c>
    </row>
    <row r="88" spans="8:18" ht="13.8" thickBot="1" x14ac:dyDescent="0.3">
      <c r="H88" s="23" t="s">
        <v>82</v>
      </c>
      <c r="R88" s="7" t="s">
        <v>151</v>
      </c>
    </row>
    <row r="89" spans="8:18" x14ac:dyDescent="0.25">
      <c r="H89" s="18" t="s">
        <v>59</v>
      </c>
      <c r="R89" s="7" t="s">
        <v>152</v>
      </c>
    </row>
    <row r="90" spans="8:18" x14ac:dyDescent="0.25">
      <c r="H90" s="14" t="s">
        <v>60</v>
      </c>
      <c r="R90" s="7" t="s">
        <v>153</v>
      </c>
    </row>
    <row r="91" spans="8:18" x14ac:dyDescent="0.25">
      <c r="H91" s="14" t="s">
        <v>61</v>
      </c>
      <c r="R91" s="7" t="s">
        <v>154</v>
      </c>
    </row>
    <row r="92" spans="8:18" ht="13.8" thickBot="1" x14ac:dyDescent="0.3">
      <c r="H92" s="15" t="s">
        <v>62</v>
      </c>
      <c r="R92" s="7" t="s">
        <v>54</v>
      </c>
    </row>
    <row r="93" spans="8:18" x14ac:dyDescent="0.25">
      <c r="R93" s="7" t="s">
        <v>155</v>
      </c>
    </row>
    <row r="94" spans="8:18" x14ac:dyDescent="0.25">
      <c r="R94" s="7" t="s">
        <v>156</v>
      </c>
    </row>
    <row r="95" spans="8:18" x14ac:dyDescent="0.25">
      <c r="R95" s="7" t="s">
        <v>157</v>
      </c>
    </row>
    <row r="96" spans="8:18" x14ac:dyDescent="0.25">
      <c r="R96" s="7" t="s">
        <v>158</v>
      </c>
    </row>
    <row r="97" spans="18:18" x14ac:dyDescent="0.25">
      <c r="R97" s="7" t="s">
        <v>159</v>
      </c>
    </row>
    <row r="98" spans="18:18" x14ac:dyDescent="0.25">
      <c r="R98" s="7" t="s">
        <v>160</v>
      </c>
    </row>
    <row r="99" spans="18:18" x14ac:dyDescent="0.25">
      <c r="R99" s="7" t="s">
        <v>161</v>
      </c>
    </row>
    <row r="100" spans="18:18" x14ac:dyDescent="0.25">
      <c r="R100" s="7" t="s">
        <v>162</v>
      </c>
    </row>
    <row r="101" spans="18:18" x14ac:dyDescent="0.25">
      <c r="R101" s="7" t="s">
        <v>163</v>
      </c>
    </row>
    <row r="102" spans="18:18" x14ac:dyDescent="0.25">
      <c r="R102" s="7" t="s">
        <v>164</v>
      </c>
    </row>
    <row r="103" spans="18:18" x14ac:dyDescent="0.25">
      <c r="R103" s="7" t="s">
        <v>165</v>
      </c>
    </row>
    <row r="104" spans="18:18" x14ac:dyDescent="0.25">
      <c r="R104" s="7" t="s">
        <v>166</v>
      </c>
    </row>
    <row r="105" spans="18:18" x14ac:dyDescent="0.25">
      <c r="R105" s="7" t="s">
        <v>167</v>
      </c>
    </row>
    <row r="106" spans="18:18" x14ac:dyDescent="0.25">
      <c r="R106" s="7" t="s">
        <v>168</v>
      </c>
    </row>
    <row r="107" spans="18:18" x14ac:dyDescent="0.25">
      <c r="R107" s="7" t="s">
        <v>169</v>
      </c>
    </row>
    <row r="108" spans="18:18" x14ac:dyDescent="0.25">
      <c r="R108" s="7" t="s">
        <v>170</v>
      </c>
    </row>
    <row r="109" spans="18:18" x14ac:dyDescent="0.25">
      <c r="R109" s="7" t="s">
        <v>171</v>
      </c>
    </row>
    <row r="110" spans="18:18" x14ac:dyDescent="0.25">
      <c r="R110" s="7" t="s">
        <v>172</v>
      </c>
    </row>
    <row r="111" spans="18:18" x14ac:dyDescent="0.25">
      <c r="R111" s="7" t="s">
        <v>173</v>
      </c>
    </row>
    <row r="112" spans="18:18" x14ac:dyDescent="0.25">
      <c r="R112" s="7" t="s">
        <v>174</v>
      </c>
    </row>
    <row r="113" spans="18:18" x14ac:dyDescent="0.25">
      <c r="R113" s="7" t="s">
        <v>175</v>
      </c>
    </row>
    <row r="114" spans="18:18" x14ac:dyDescent="0.25">
      <c r="R114" s="7" t="s">
        <v>176</v>
      </c>
    </row>
    <row r="115" spans="18:18" x14ac:dyDescent="0.25">
      <c r="R115" s="7" t="s">
        <v>177</v>
      </c>
    </row>
    <row r="116" spans="18:18" x14ac:dyDescent="0.25">
      <c r="R116" s="7" t="s">
        <v>178</v>
      </c>
    </row>
    <row r="117" spans="18:18" x14ac:dyDescent="0.25">
      <c r="R117" s="7" t="s">
        <v>179</v>
      </c>
    </row>
    <row r="118" spans="18:18" x14ac:dyDescent="0.25">
      <c r="R118" s="7" t="s">
        <v>180</v>
      </c>
    </row>
    <row r="119" spans="18:18" x14ac:dyDescent="0.25">
      <c r="R119" s="7" t="s">
        <v>181</v>
      </c>
    </row>
    <row r="120" spans="18:18" x14ac:dyDescent="0.25">
      <c r="R120" s="7" t="s">
        <v>182</v>
      </c>
    </row>
    <row r="121" spans="18:18" x14ac:dyDescent="0.25">
      <c r="R121" s="7" t="s">
        <v>183</v>
      </c>
    </row>
    <row r="122" spans="18:18" x14ac:dyDescent="0.25">
      <c r="R122" s="7" t="s">
        <v>184</v>
      </c>
    </row>
    <row r="123" spans="18:18" x14ac:dyDescent="0.25">
      <c r="R123" s="7" t="s">
        <v>185</v>
      </c>
    </row>
    <row r="124" spans="18:18" x14ac:dyDescent="0.25">
      <c r="R124" s="7" t="s">
        <v>186</v>
      </c>
    </row>
    <row r="125" spans="18:18" x14ac:dyDescent="0.25">
      <c r="R125" s="7" t="s">
        <v>187</v>
      </c>
    </row>
    <row r="126" spans="18:18" x14ac:dyDescent="0.25">
      <c r="R126" s="7" t="s">
        <v>188</v>
      </c>
    </row>
    <row r="127" spans="18:18" x14ac:dyDescent="0.25">
      <c r="R127" s="7" t="s">
        <v>189</v>
      </c>
    </row>
    <row r="128" spans="18:18" x14ac:dyDescent="0.25">
      <c r="R128" s="7" t="s">
        <v>190</v>
      </c>
    </row>
    <row r="129" spans="18:18" x14ac:dyDescent="0.25">
      <c r="R129" s="7" t="s">
        <v>191</v>
      </c>
    </row>
    <row r="130" spans="18:18" x14ac:dyDescent="0.25">
      <c r="R130" s="7" t="s">
        <v>192</v>
      </c>
    </row>
    <row r="131" spans="18:18" x14ac:dyDescent="0.25">
      <c r="R131" s="7" t="s">
        <v>193</v>
      </c>
    </row>
    <row r="132" spans="18:18" x14ac:dyDescent="0.25">
      <c r="R132" s="7" t="s">
        <v>194</v>
      </c>
    </row>
    <row r="133" spans="18:18" x14ac:dyDescent="0.25">
      <c r="R133" s="7" t="s">
        <v>51</v>
      </c>
    </row>
    <row r="134" spans="18:18" x14ac:dyDescent="0.25">
      <c r="R134" s="7" t="s">
        <v>195</v>
      </c>
    </row>
    <row r="135" spans="18:18" x14ac:dyDescent="0.25">
      <c r="R135" s="7" t="s">
        <v>196</v>
      </c>
    </row>
    <row r="136" spans="18:18" x14ac:dyDescent="0.25">
      <c r="R136" s="7" t="s">
        <v>197</v>
      </c>
    </row>
    <row r="137" spans="18:18" x14ac:dyDescent="0.25">
      <c r="R137" s="7" t="s">
        <v>198</v>
      </c>
    </row>
    <row r="138" spans="18:18" x14ac:dyDescent="0.25">
      <c r="R138" s="7" t="s">
        <v>199</v>
      </c>
    </row>
    <row r="139" spans="18:18" x14ac:dyDescent="0.25">
      <c r="R139" s="7" t="s">
        <v>200</v>
      </c>
    </row>
    <row r="140" spans="18:18" x14ac:dyDescent="0.25">
      <c r="R140" s="7" t="s">
        <v>201</v>
      </c>
    </row>
    <row r="141" spans="18:18" x14ac:dyDescent="0.25">
      <c r="R141" s="7" t="s">
        <v>202</v>
      </c>
    </row>
    <row r="142" spans="18:18" x14ac:dyDescent="0.25">
      <c r="R142" s="7" t="s">
        <v>50</v>
      </c>
    </row>
    <row r="143" spans="18:18" x14ac:dyDescent="0.25">
      <c r="R143" s="7" t="s">
        <v>203</v>
      </c>
    </row>
    <row r="144" spans="18:18" x14ac:dyDescent="0.25">
      <c r="R144" s="7" t="s">
        <v>204</v>
      </c>
    </row>
    <row r="145" spans="18:18" x14ac:dyDescent="0.25">
      <c r="R145" s="7" t="s">
        <v>205</v>
      </c>
    </row>
    <row r="146" spans="18:18" x14ac:dyDescent="0.25">
      <c r="R146" s="7" t="s">
        <v>206</v>
      </c>
    </row>
    <row r="147" spans="18:18" x14ac:dyDescent="0.25">
      <c r="R147" s="7" t="s">
        <v>207</v>
      </c>
    </row>
    <row r="148" spans="18:18" x14ac:dyDescent="0.25">
      <c r="R148" s="7" t="s">
        <v>208</v>
      </c>
    </row>
    <row r="149" spans="18:18" x14ac:dyDescent="0.25">
      <c r="R149" s="7" t="s">
        <v>209</v>
      </c>
    </row>
    <row r="150" spans="18:18" x14ac:dyDescent="0.25">
      <c r="R150" s="7" t="s">
        <v>210</v>
      </c>
    </row>
    <row r="151" spans="18:18" x14ac:dyDescent="0.25">
      <c r="R151" s="7" t="s">
        <v>211</v>
      </c>
    </row>
    <row r="152" spans="18:18" x14ac:dyDescent="0.25">
      <c r="R152" s="7" t="s">
        <v>212</v>
      </c>
    </row>
    <row r="153" spans="18:18" x14ac:dyDescent="0.25">
      <c r="R153" s="7" t="s">
        <v>52</v>
      </c>
    </row>
    <row r="154" spans="18:18" x14ac:dyDescent="0.25">
      <c r="R154" s="7" t="s">
        <v>213</v>
      </c>
    </row>
    <row r="155" spans="18:18" x14ac:dyDescent="0.25">
      <c r="R155" s="7" t="s">
        <v>214</v>
      </c>
    </row>
    <row r="156" spans="18:18" x14ac:dyDescent="0.25">
      <c r="R156" s="7" t="s">
        <v>215</v>
      </c>
    </row>
    <row r="157" spans="18:18" x14ac:dyDescent="0.25">
      <c r="R157" s="7" t="s">
        <v>216</v>
      </c>
    </row>
    <row r="158" spans="18:18" x14ac:dyDescent="0.25">
      <c r="R158" s="7" t="s">
        <v>217</v>
      </c>
    </row>
    <row r="159" spans="18:18" x14ac:dyDescent="0.25">
      <c r="R159" s="7" t="s">
        <v>218</v>
      </c>
    </row>
    <row r="160" spans="18:18" x14ac:dyDescent="0.25">
      <c r="R160" s="7" t="s">
        <v>219</v>
      </c>
    </row>
    <row r="161" spans="18:18" x14ac:dyDescent="0.25">
      <c r="R161" s="7" t="s">
        <v>220</v>
      </c>
    </row>
    <row r="162" spans="18:18" x14ac:dyDescent="0.25">
      <c r="R162" s="7" t="s">
        <v>221</v>
      </c>
    </row>
    <row r="163" spans="18:18" x14ac:dyDescent="0.25">
      <c r="R163" s="7" t="s">
        <v>222</v>
      </c>
    </row>
    <row r="164" spans="18:18" x14ac:dyDescent="0.25">
      <c r="R164" s="7" t="s">
        <v>56</v>
      </c>
    </row>
    <row r="165" spans="18:18" x14ac:dyDescent="0.25">
      <c r="R165" s="7" t="s">
        <v>223</v>
      </c>
    </row>
    <row r="166" spans="18:18" x14ac:dyDescent="0.25">
      <c r="R166" s="7" t="s">
        <v>224</v>
      </c>
    </row>
    <row r="167" spans="18:18" x14ac:dyDescent="0.25">
      <c r="R167" s="7" t="s">
        <v>225</v>
      </c>
    </row>
    <row r="168" spans="18:18" x14ac:dyDescent="0.25">
      <c r="R168" s="7" t="s">
        <v>226</v>
      </c>
    </row>
    <row r="169" spans="18:18" x14ac:dyDescent="0.25">
      <c r="R169" s="7" t="s">
        <v>227</v>
      </c>
    </row>
    <row r="170" spans="18:18" x14ac:dyDescent="0.25">
      <c r="R170" s="7" t="s">
        <v>228</v>
      </c>
    </row>
    <row r="171" spans="18:18" x14ac:dyDescent="0.25">
      <c r="R171" s="7" t="s">
        <v>229</v>
      </c>
    </row>
    <row r="172" spans="18:18" x14ac:dyDescent="0.25">
      <c r="R172" s="7" t="s">
        <v>230</v>
      </c>
    </row>
    <row r="173" spans="18:18" x14ac:dyDescent="0.25">
      <c r="R173" s="7" t="s">
        <v>231</v>
      </c>
    </row>
    <row r="174" spans="18:18" x14ac:dyDescent="0.25">
      <c r="R174" s="7" t="s">
        <v>232</v>
      </c>
    </row>
    <row r="175" spans="18:18" x14ac:dyDescent="0.25">
      <c r="R175" s="7" t="s">
        <v>45</v>
      </c>
    </row>
    <row r="176" spans="18:18" x14ac:dyDescent="0.25">
      <c r="R176" s="7" t="s">
        <v>233</v>
      </c>
    </row>
    <row r="177" spans="18:18" x14ac:dyDescent="0.25">
      <c r="R177" s="7" t="s">
        <v>234</v>
      </c>
    </row>
    <row r="178" spans="18:18" x14ac:dyDescent="0.25">
      <c r="R178" s="7" t="s">
        <v>235</v>
      </c>
    </row>
    <row r="179" spans="18:18" x14ac:dyDescent="0.25">
      <c r="R179" s="7" t="s">
        <v>236</v>
      </c>
    </row>
    <row r="180" spans="18:18" x14ac:dyDescent="0.25">
      <c r="R180" s="7" t="s">
        <v>237</v>
      </c>
    </row>
    <row r="181" spans="18:18" x14ac:dyDescent="0.25">
      <c r="R181" s="7" t="s">
        <v>238</v>
      </c>
    </row>
    <row r="182" spans="18:18" x14ac:dyDescent="0.25">
      <c r="R182" s="7" t="s">
        <v>239</v>
      </c>
    </row>
    <row r="183" spans="18:18" x14ac:dyDescent="0.25">
      <c r="R183" s="7" t="s">
        <v>240</v>
      </c>
    </row>
    <row r="184" spans="18:18" x14ac:dyDescent="0.25">
      <c r="R184" s="7" t="s">
        <v>241</v>
      </c>
    </row>
    <row r="185" spans="18:18" x14ac:dyDescent="0.25">
      <c r="R185" s="7" t="s">
        <v>242</v>
      </c>
    </row>
    <row r="186" spans="18:18" x14ac:dyDescent="0.25">
      <c r="R186" s="7" t="s">
        <v>243</v>
      </c>
    </row>
    <row r="187" spans="18:18" x14ac:dyDescent="0.25">
      <c r="R187" s="7" t="s">
        <v>244</v>
      </c>
    </row>
    <row r="188" spans="18:18" x14ac:dyDescent="0.25">
      <c r="R188" s="7" t="s">
        <v>245</v>
      </c>
    </row>
    <row r="189" spans="18:18" x14ac:dyDescent="0.25">
      <c r="R189" s="7" t="s">
        <v>246</v>
      </c>
    </row>
    <row r="190" spans="18:18" x14ac:dyDescent="0.25">
      <c r="R190" s="7" t="s">
        <v>247</v>
      </c>
    </row>
    <row r="191" spans="18:18" x14ac:dyDescent="0.25">
      <c r="R191" s="7" t="s">
        <v>248</v>
      </c>
    </row>
    <row r="192" spans="18:18" x14ac:dyDescent="0.25">
      <c r="R192" s="7" t="s">
        <v>249</v>
      </c>
    </row>
    <row r="193" spans="18:18" x14ac:dyDescent="0.25">
      <c r="R193" s="7" t="s">
        <v>250</v>
      </c>
    </row>
    <row r="194" spans="18:18" x14ac:dyDescent="0.25">
      <c r="R194" s="7" t="s">
        <v>251</v>
      </c>
    </row>
    <row r="195" spans="18:18" x14ac:dyDescent="0.25">
      <c r="R195" s="7" t="s">
        <v>252</v>
      </c>
    </row>
    <row r="196" spans="18:18" x14ac:dyDescent="0.25">
      <c r="R196" s="7" t="s">
        <v>253</v>
      </c>
    </row>
    <row r="197" spans="18:18" x14ac:dyDescent="0.25">
      <c r="R197" s="7" t="s">
        <v>254</v>
      </c>
    </row>
    <row r="198" spans="18:18" x14ac:dyDescent="0.25">
      <c r="R198" s="7" t="s">
        <v>255</v>
      </c>
    </row>
    <row r="199" spans="18:18" x14ac:dyDescent="0.25">
      <c r="R199" s="7" t="s">
        <v>256</v>
      </c>
    </row>
    <row r="200" spans="18:18" x14ac:dyDescent="0.25">
      <c r="R200" s="7" t="s">
        <v>257</v>
      </c>
    </row>
    <row r="201" spans="18:18" x14ac:dyDescent="0.25">
      <c r="R201" s="7" t="s">
        <v>258</v>
      </c>
    </row>
    <row r="202" spans="18:18" x14ac:dyDescent="0.25">
      <c r="R202" s="7" t="s">
        <v>259</v>
      </c>
    </row>
    <row r="203" spans="18:18" x14ac:dyDescent="0.25">
      <c r="R203" s="7" t="s">
        <v>260</v>
      </c>
    </row>
    <row r="204" spans="18:18" x14ac:dyDescent="0.25">
      <c r="R204" s="7" t="s">
        <v>261</v>
      </c>
    </row>
    <row r="205" spans="18:18" ht="13.8" thickBot="1" x14ac:dyDescent="0.3">
      <c r="R205" s="6" t="s">
        <v>262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DA8D66A5E2FF46833F5D5CF00D52B2" ma:contentTypeVersion="7" ma:contentTypeDescription="Create a new document." ma:contentTypeScope="" ma:versionID="e399a989827ef1c741b9b5dd8c83990f">
  <xsd:schema xmlns:xsd="http://www.w3.org/2001/XMLSchema" xmlns:xs="http://www.w3.org/2001/XMLSchema" xmlns:p="http://schemas.microsoft.com/office/2006/metadata/properties" xmlns:ns3="071cb51f-e276-462f-a5a2-cc57b4bcab79" xmlns:ns4="810ce083-e6a1-4f32-b41b-0425c36e9ac7" targetNamespace="http://schemas.microsoft.com/office/2006/metadata/properties" ma:root="true" ma:fieldsID="7bca7cc14f1a40aac46bdecfb340f67b" ns3:_="" ns4:_="">
    <xsd:import namespace="071cb51f-e276-462f-a5a2-cc57b4bcab79"/>
    <xsd:import namespace="810ce083-e6a1-4f32-b41b-0425c36e9ac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1cb51f-e276-462f-a5a2-cc57b4bcab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0ce083-e6a1-4f32-b41b-0425c36e9ac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FD1034-EE80-4CE6-8EDE-1B8848AA0B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1cb51f-e276-462f-a5a2-cc57b4bcab79"/>
    <ds:schemaRef ds:uri="810ce083-e6a1-4f32-b41b-0425c36e9a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3B48BC-B02E-43C8-9B8F-4369913BFC72}">
  <ds:schemaRefs>
    <ds:schemaRef ds:uri="http://schemas.microsoft.com/office/2006/documentManagement/types"/>
    <ds:schemaRef ds:uri="http://purl.org/dc/dcmitype/"/>
    <ds:schemaRef ds:uri="http://purl.org/dc/elements/1.1/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810ce083-e6a1-4f32-b41b-0425c36e9ac7"/>
    <ds:schemaRef ds:uri="071cb51f-e276-462f-a5a2-cc57b4bcab79"/>
  </ds:schemaRefs>
</ds:datastoreItem>
</file>

<file path=customXml/itemProps3.xml><?xml version="1.0" encoding="utf-8"?>
<ds:datastoreItem xmlns:ds="http://schemas.openxmlformats.org/officeDocument/2006/customXml" ds:itemID="{F18E574F-2D9F-4E3E-99C9-483E751074B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44</vt:i4>
      </vt:variant>
    </vt:vector>
  </HeadingPairs>
  <TitlesOfParts>
    <vt:vector size="58" baseType="lpstr">
      <vt:lpstr>Instructions</vt:lpstr>
      <vt:lpstr>1. Instructions Enrollment Form</vt:lpstr>
      <vt:lpstr>Batch BIN CAIDS</vt:lpstr>
      <vt:lpstr>Rule One</vt:lpstr>
      <vt:lpstr>Rule Two</vt:lpstr>
      <vt:lpstr>Rule Three</vt:lpstr>
      <vt:lpstr>Rule Four</vt:lpstr>
      <vt:lpstr>Rule Five</vt:lpstr>
      <vt:lpstr>Rule Six</vt:lpstr>
      <vt:lpstr>Rule Seven</vt:lpstr>
      <vt:lpstr>Rule Eight</vt:lpstr>
      <vt:lpstr>Rule Nine</vt:lpstr>
      <vt:lpstr>Rule Ten</vt:lpstr>
      <vt:lpstr>Lists3</vt:lpstr>
      <vt:lpstr>AuthorizeDateTime</vt:lpstr>
      <vt:lpstr>Bin</vt:lpstr>
      <vt:lpstr>binequal</vt:lpstr>
      <vt:lpstr>bingreaterthan</vt:lpstr>
      <vt:lpstr>Canada</vt:lpstr>
      <vt:lpstr>CanadaCentral</vt:lpstr>
      <vt:lpstr>CanadaWest</vt:lpstr>
      <vt:lpstr>Country</vt:lpstr>
      <vt:lpstr>DisputeCategory</vt:lpstr>
      <vt:lpstr>DisputeCategoryEqualTo</vt:lpstr>
      <vt:lpstr>DisputeCategoryIsBlank</vt:lpstr>
      <vt:lpstr>DisputeCategoryIsIn</vt:lpstr>
      <vt:lpstr>DisputeCategoryIsNotIn</vt:lpstr>
      <vt:lpstr>DisputeCategoryNotEqualTo</vt:lpstr>
      <vt:lpstr>DisputeConditionCode</vt:lpstr>
      <vt:lpstr>DisputeConditionCodeEqualTo</vt:lpstr>
      <vt:lpstr>DisputeConditionCodeIsBlank</vt:lpstr>
      <vt:lpstr>DisputeConditionCodeIsIn</vt:lpstr>
      <vt:lpstr>DisputeConditionCodeIsNotIn</vt:lpstr>
      <vt:lpstr>DisputeConditionCodeNotEqualTo</vt:lpstr>
      <vt:lpstr>dollar</vt:lpstr>
      <vt:lpstr>Greaterthan</vt:lpstr>
      <vt:lpstr>New_York_City</vt:lpstr>
      <vt:lpstr>PersonalAccountNumberBin</vt:lpstr>
      <vt:lpstr>PersonalAccountNumberBinIsBlank</vt:lpstr>
      <vt:lpstr>PurchaseIdentifier</vt:lpstr>
      <vt:lpstr>PurchaseIdentifierIsBlank</vt:lpstr>
      <vt:lpstr>reasoncodecontain</vt:lpstr>
      <vt:lpstr>reasoncodeequal</vt:lpstr>
      <vt:lpstr>Rule</vt:lpstr>
      <vt:lpstr>TransactionAmount</vt:lpstr>
      <vt:lpstr>TransactionCurrencyCode</vt:lpstr>
      <vt:lpstr>TransactionCurrencyCodeEqualTo</vt:lpstr>
      <vt:lpstr>TransactionCurrencyCodeIsBlank</vt:lpstr>
      <vt:lpstr>TransactionCurrencyCodeIsIn</vt:lpstr>
      <vt:lpstr>TransactionCurrencyCodeIsNotIn</vt:lpstr>
      <vt:lpstr>TransactionCurrencyCodeNotEqualTo</vt:lpstr>
      <vt:lpstr>TransactionDate</vt:lpstr>
      <vt:lpstr>TransactionDateIsIn</vt:lpstr>
      <vt:lpstr>TransactionDateIsNotIn</vt:lpstr>
      <vt:lpstr>USA</vt:lpstr>
      <vt:lpstr>USAEast</vt:lpstr>
      <vt:lpstr>USASouthEast</vt:lpstr>
      <vt:lpstr>USAWest</vt:lpstr>
    </vt:vector>
  </TitlesOfParts>
  <Company>Contextures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Debra S. Dalgleish</dc:creator>
  <cp:lastModifiedBy>Saul Solis</cp:lastModifiedBy>
  <dcterms:created xsi:type="dcterms:W3CDTF">2002-02-26T20:43:12Z</dcterms:created>
  <dcterms:modified xsi:type="dcterms:W3CDTF">2022-12-23T18:18:50Z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0x01010087DA8D66A5E2FF46833F5D5CF00D52B2</vt:lpwstr>
  </property>
  <property fmtid="{D5CDD505-2E9C-101B-9397-08002B2CF9AE}" pid="3" name="MSIP_Label_a0f89cb5-682d-4be4-b0e0-739c9b4a93d4_Enabled">
    <vt:lpwstr>true</vt:lpwstr>
  </property>
  <property fmtid="{D5CDD505-2E9C-101B-9397-08002B2CF9AE}" pid="4" name="MSIP_Label_a0f89cb5-682d-4be4-b0e0-739c9b4a93d4_SetDate">
    <vt:lpwstr>2022-05-31T15:43:23Z</vt:lpwstr>
  </property>
  <property fmtid="{D5CDD505-2E9C-101B-9397-08002B2CF9AE}" pid="5" name="MSIP_Label_a0f89cb5-682d-4be4-b0e0-739c9b4a93d4_Method">
    <vt:lpwstr>Standard</vt:lpwstr>
  </property>
  <property fmtid="{D5CDD505-2E9C-101B-9397-08002B2CF9AE}" pid="6" name="MSIP_Label_a0f89cb5-682d-4be4-b0e0-739c9b4a93d4_Name">
    <vt:lpwstr>Not Classified</vt:lpwstr>
  </property>
  <property fmtid="{D5CDD505-2E9C-101B-9397-08002B2CF9AE}" pid="7" name="MSIP_Label_a0f89cb5-682d-4be4-b0e0-739c9b4a93d4_SiteId">
    <vt:lpwstr>38305e12-e15d-4ee8-88b9-c4db1c477d76</vt:lpwstr>
  </property>
  <property fmtid="{D5CDD505-2E9C-101B-9397-08002B2CF9AE}" pid="8" name="MSIP_Label_a0f89cb5-682d-4be4-b0e0-739c9b4a93d4_ActionId">
    <vt:lpwstr>3f185823-1fda-4405-b981-134769493ac1</vt:lpwstr>
  </property>
  <property fmtid="{D5CDD505-2E9C-101B-9397-08002B2CF9AE}" pid="9" name="MSIP_Label_a0f89cb5-682d-4be4-b0e0-739c9b4a93d4_ContentBits">
    <vt:lpwstr>0</vt:lpwstr>
  </property>
</Properties>
</file>